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D07842A-718C-4901-AF17-D413E2C62232}" xr6:coauthVersionLast="47" xr6:coauthVersionMax="47" xr10:uidLastSave="{00000000-0000-0000-0000-000000000000}"/>
  <bookViews>
    <workbookView xWindow="-108" yWindow="-108" windowWidth="23256" windowHeight="12456" firstSheet="1" activeTab="3" xr2:uid="{3DECDAEE-3AC5-46D4-A988-81344C62255E}"/>
  </bookViews>
  <sheets>
    <sheet name="IS" sheetId="1" r:id="rId1"/>
    <sheet name="Assumption" sheetId="2" r:id="rId2"/>
    <sheet name="BS" sheetId="3" r:id="rId3"/>
    <sheet name="Sheet4" sheetId="10" r:id="rId4"/>
    <sheet name="Debt Schedule" sheetId="6" r:id="rId5"/>
    <sheet name="Working Cap Schedule " sheetId="4" r:id="rId6"/>
    <sheet name="CAPEX Schedule " sheetId="5" r:id="rId7"/>
    <sheet name="FCFF" sheetId="7" r:id="rId8"/>
    <sheet name="FCFE" sheetId="8" r:id="rId9"/>
    <sheet name="WACC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5" l="1"/>
  <c r="E33" i="5"/>
  <c r="F33" i="5"/>
  <c r="G33" i="5"/>
  <c r="H33" i="5"/>
  <c r="C33" i="5"/>
  <c r="D30" i="5"/>
  <c r="E30" i="5"/>
  <c r="F30" i="5"/>
  <c r="G30" i="5"/>
  <c r="H30" i="5"/>
  <c r="D31" i="5"/>
  <c r="E31" i="5"/>
  <c r="F31" i="5"/>
  <c r="G31" i="5"/>
  <c r="H31" i="5"/>
  <c r="D32" i="5"/>
  <c r="E32" i="5"/>
  <c r="F32" i="5"/>
  <c r="G32" i="5"/>
  <c r="H32" i="5"/>
  <c r="C32" i="5"/>
  <c r="C31" i="5"/>
  <c r="C30" i="5"/>
  <c r="D7" i="10"/>
  <c r="E7" i="10"/>
  <c r="F7" i="10"/>
  <c r="G7" i="10"/>
  <c r="H7" i="10"/>
  <c r="C7" i="10"/>
  <c r="D50" i="4"/>
  <c r="E50" i="4"/>
  <c r="F50" i="4"/>
  <c r="G50" i="4"/>
  <c r="H50" i="4"/>
  <c r="C50" i="4"/>
  <c r="D48" i="4"/>
  <c r="E48" i="4"/>
  <c r="F48" i="4"/>
  <c r="C48" i="4"/>
  <c r="D43" i="4"/>
  <c r="E43" i="4"/>
  <c r="F43" i="4"/>
  <c r="C43" i="4"/>
  <c r="C40" i="4"/>
  <c r="D40" i="4"/>
  <c r="E40" i="4"/>
  <c r="F40" i="4"/>
  <c r="C41" i="4"/>
  <c r="D41" i="4"/>
  <c r="E41" i="4"/>
  <c r="F41" i="4"/>
  <c r="C45" i="4"/>
  <c r="D45" i="4"/>
  <c r="E45" i="4"/>
  <c r="F45" i="4"/>
  <c r="C46" i="4"/>
  <c r="C47" i="4" s="1"/>
  <c r="D46" i="4"/>
  <c r="E46" i="4"/>
  <c r="F46" i="4"/>
  <c r="G46" i="4" s="1"/>
  <c r="H46" i="4" s="1"/>
  <c r="B46" i="4"/>
  <c r="B45" i="4"/>
  <c r="B41" i="4"/>
  <c r="B40" i="4"/>
  <c r="D12" i="3"/>
  <c r="D3" i="2"/>
  <c r="B47" i="4"/>
  <c r="C42" i="4"/>
  <c r="B42" i="4"/>
  <c r="B6" i="10"/>
  <c r="C5" i="10"/>
  <c r="D5" i="10"/>
  <c r="E5" i="10"/>
  <c r="F5" i="10"/>
  <c r="G5" i="10"/>
  <c r="H5" i="10"/>
  <c r="B5" i="10"/>
  <c r="C4" i="10"/>
  <c r="B4" i="10"/>
  <c r="C3" i="10"/>
  <c r="B3" i="10"/>
  <c r="E1" i="10"/>
  <c r="F1" i="10" s="1"/>
  <c r="G1" i="10" s="1"/>
  <c r="H1" i="10" s="1"/>
  <c r="C1" i="10"/>
  <c r="B9" i="10" l="1"/>
  <c r="D47" i="4"/>
  <c r="G41" i="4"/>
  <c r="H41" i="4" s="1"/>
  <c r="E47" i="4"/>
  <c r="F47" i="4" l="1"/>
  <c r="G45" i="4"/>
  <c r="G47" i="4" l="1"/>
  <c r="H45" i="4"/>
  <c r="H47" i="4" s="1"/>
  <c r="C25" i="3" l="1"/>
  <c r="B25" i="3"/>
  <c r="B29" i="7"/>
  <c r="B28" i="8" s="1"/>
  <c r="B28" i="7"/>
  <c r="J44" i="9"/>
  <c r="B43" i="7"/>
  <c r="B42" i="7" s="1"/>
  <c r="B41" i="7" s="1"/>
  <c r="B40" i="7" s="1"/>
  <c r="F39" i="7"/>
  <c r="G39" i="7" s="1"/>
  <c r="H39" i="7" s="1"/>
  <c r="I39" i="7" s="1"/>
  <c r="B27" i="8"/>
  <c r="B29" i="8"/>
  <c r="B30" i="7"/>
  <c r="J42" i="9"/>
  <c r="B16" i="7" s="1"/>
  <c r="J27" i="9"/>
  <c r="B15" i="7" s="1"/>
  <c r="B12" i="8"/>
  <c r="B12" i="7"/>
  <c r="B19" i="7" s="1"/>
  <c r="C19" i="7" s="1"/>
  <c r="D19" i="7" s="1"/>
  <c r="E19" i="7" s="1"/>
  <c r="J26" i="9"/>
  <c r="J31" i="9"/>
  <c r="J25" i="9"/>
  <c r="J24" i="9"/>
  <c r="J23" i="9"/>
  <c r="J22" i="9"/>
  <c r="C25" i="1"/>
  <c r="B25" i="1"/>
  <c r="J21" i="9"/>
  <c r="G61" i="9"/>
  <c r="F61" i="9"/>
  <c r="G60" i="9"/>
  <c r="F60" i="9"/>
  <c r="G59" i="9"/>
  <c r="F59" i="9"/>
  <c r="G58" i="9"/>
  <c r="F58" i="9"/>
  <c r="G57" i="9"/>
  <c r="F57" i="9"/>
  <c r="G56" i="9"/>
  <c r="F56" i="9"/>
  <c r="G55" i="9"/>
  <c r="F55" i="9"/>
  <c r="G54" i="9"/>
  <c r="F54" i="9"/>
  <c r="G53" i="9"/>
  <c r="F53" i="9"/>
  <c r="G52" i="9"/>
  <c r="F52" i="9"/>
  <c r="G51" i="9"/>
  <c r="F51" i="9"/>
  <c r="G50" i="9"/>
  <c r="F50" i="9"/>
  <c r="G49" i="9"/>
  <c r="F49" i="9"/>
  <c r="G48" i="9"/>
  <c r="F48" i="9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G3" i="9"/>
  <c r="F3" i="9"/>
  <c r="C6" i="8"/>
  <c r="D6" i="8"/>
  <c r="E6" i="8"/>
  <c r="F6" i="8"/>
  <c r="B6" i="8"/>
  <c r="F1" i="8"/>
  <c r="E1" i="8"/>
  <c r="D1" i="8"/>
  <c r="C1" i="8"/>
  <c r="B1" i="8"/>
  <c r="F1" i="7"/>
  <c r="E1" i="7"/>
  <c r="D1" i="7"/>
  <c r="C1" i="7"/>
  <c r="B1" i="7"/>
  <c r="E37" i="3"/>
  <c r="F37" i="3"/>
  <c r="G37" i="3"/>
  <c r="H37" i="3"/>
  <c r="D37" i="3"/>
  <c r="E36" i="3"/>
  <c r="F36" i="3"/>
  <c r="G36" i="3"/>
  <c r="H36" i="3"/>
  <c r="D36" i="3"/>
  <c r="E35" i="3"/>
  <c r="F35" i="3"/>
  <c r="G35" i="3"/>
  <c r="H35" i="3"/>
  <c r="D35" i="3"/>
  <c r="E34" i="3"/>
  <c r="F34" i="3"/>
  <c r="G34" i="3"/>
  <c r="H34" i="3"/>
  <c r="D34" i="3"/>
  <c r="E14" i="3"/>
  <c r="F14" i="3"/>
  <c r="G14" i="3"/>
  <c r="H14" i="3"/>
  <c r="D14" i="3"/>
  <c r="E13" i="3"/>
  <c r="F13" i="3"/>
  <c r="G13" i="3"/>
  <c r="H13" i="3"/>
  <c r="D13" i="3"/>
  <c r="E10" i="3"/>
  <c r="F10" i="3"/>
  <c r="G10" i="3"/>
  <c r="H10" i="3"/>
  <c r="D10" i="3"/>
  <c r="E8" i="3"/>
  <c r="F8" i="3"/>
  <c r="G8" i="3"/>
  <c r="H8" i="3"/>
  <c r="D8" i="3"/>
  <c r="E6" i="3"/>
  <c r="F6" i="3"/>
  <c r="G6" i="3"/>
  <c r="H6" i="3"/>
  <c r="D6" i="3"/>
  <c r="E5" i="3"/>
  <c r="F5" i="3"/>
  <c r="G5" i="3"/>
  <c r="H5" i="3"/>
  <c r="D5" i="3"/>
  <c r="E75" i="2"/>
  <c r="F75" i="2" s="1"/>
  <c r="G75" i="2" s="1"/>
  <c r="H75" i="2" s="1"/>
  <c r="E76" i="2"/>
  <c r="F76" i="2" s="1"/>
  <c r="G76" i="2" s="1"/>
  <c r="H76" i="2" s="1"/>
  <c r="E77" i="2"/>
  <c r="F77" i="2"/>
  <c r="G77" i="2"/>
  <c r="H77" i="2"/>
  <c r="E78" i="2"/>
  <c r="F78" i="2"/>
  <c r="G78" i="2" s="1"/>
  <c r="H78" i="2" s="1"/>
  <c r="E81" i="2"/>
  <c r="F81" i="2"/>
  <c r="G81" i="2" s="1"/>
  <c r="H81" i="2" s="1"/>
  <c r="E82" i="2"/>
  <c r="F82" i="2"/>
  <c r="G82" i="2"/>
  <c r="H82" i="2"/>
  <c r="E83" i="2"/>
  <c r="F83" i="2"/>
  <c r="G83" i="2"/>
  <c r="H83" i="2"/>
  <c r="E84" i="2"/>
  <c r="F84" i="2"/>
  <c r="G84" i="2" s="1"/>
  <c r="H84" i="2" s="1"/>
  <c r="E85" i="2"/>
  <c r="F85" i="2"/>
  <c r="G85" i="2"/>
  <c r="H85" i="2"/>
  <c r="E86" i="2"/>
  <c r="F86" i="2"/>
  <c r="G86" i="2"/>
  <c r="H86" i="2"/>
  <c r="D76" i="2"/>
  <c r="D77" i="2"/>
  <c r="D78" i="2"/>
  <c r="D81" i="2"/>
  <c r="D82" i="2"/>
  <c r="D83" i="2"/>
  <c r="D84" i="2"/>
  <c r="D85" i="2"/>
  <c r="D86" i="2"/>
  <c r="D75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D80" i="2" s="1"/>
  <c r="B80" i="2"/>
  <c r="C79" i="2"/>
  <c r="D79" i="2" s="1"/>
  <c r="B79" i="2"/>
  <c r="C78" i="2"/>
  <c r="B78" i="2"/>
  <c r="C77" i="2"/>
  <c r="B77" i="2"/>
  <c r="C76" i="2"/>
  <c r="B76" i="2"/>
  <c r="C75" i="2"/>
  <c r="B75" i="2"/>
  <c r="C74" i="2"/>
  <c r="D74" i="2" s="1"/>
  <c r="E74" i="2" s="1"/>
  <c r="F74" i="2" s="1"/>
  <c r="G74" i="2" s="1"/>
  <c r="H74" i="2" s="1"/>
  <c r="E33" i="3"/>
  <c r="F33" i="3"/>
  <c r="G33" i="3"/>
  <c r="H33" i="3"/>
  <c r="D33" i="3"/>
  <c r="E40" i="3"/>
  <c r="F40" i="3"/>
  <c r="G40" i="3"/>
  <c r="H40" i="3"/>
  <c r="D40" i="3"/>
  <c r="E39" i="3"/>
  <c r="F39" i="3"/>
  <c r="G39" i="3"/>
  <c r="H39" i="3"/>
  <c r="D39" i="3"/>
  <c r="E9" i="1"/>
  <c r="F9" i="1"/>
  <c r="G9" i="1"/>
  <c r="H9" i="1"/>
  <c r="D9" i="1"/>
  <c r="C18" i="6"/>
  <c r="D18" i="6"/>
  <c r="E18" i="6"/>
  <c r="F18" i="6"/>
  <c r="G18" i="6"/>
  <c r="H18" i="6"/>
  <c r="B18" i="6"/>
  <c r="D20" i="6"/>
  <c r="E20" i="6"/>
  <c r="F20" i="6"/>
  <c r="G20" i="6"/>
  <c r="H20" i="6"/>
  <c r="C21" i="6"/>
  <c r="C20" i="6"/>
  <c r="D16" i="6"/>
  <c r="E16" i="6"/>
  <c r="F16" i="6"/>
  <c r="G16" i="6"/>
  <c r="H16" i="6"/>
  <c r="E15" i="6"/>
  <c r="F15" i="6" s="1"/>
  <c r="G15" i="6" s="1"/>
  <c r="H15" i="6" s="1"/>
  <c r="D15" i="6"/>
  <c r="E10" i="6"/>
  <c r="F10" i="6"/>
  <c r="G10" i="6"/>
  <c r="H10" i="6" s="1"/>
  <c r="E11" i="6"/>
  <c r="F11" i="6"/>
  <c r="G11" i="6"/>
  <c r="H11" i="6" s="1"/>
  <c r="E12" i="6"/>
  <c r="F12" i="6"/>
  <c r="G12" i="6"/>
  <c r="H12" i="6" s="1"/>
  <c r="E13" i="6"/>
  <c r="F13" i="6"/>
  <c r="G13" i="6"/>
  <c r="H13" i="6"/>
  <c r="D11" i="6"/>
  <c r="D12" i="6"/>
  <c r="D13" i="6"/>
  <c r="D10" i="6"/>
  <c r="D14" i="6"/>
  <c r="E14" i="6"/>
  <c r="F14" i="6"/>
  <c r="G14" i="6"/>
  <c r="H14" i="6"/>
  <c r="D19" i="6"/>
  <c r="E19" i="6" s="1"/>
  <c r="F19" i="6" s="1"/>
  <c r="G19" i="6" s="1"/>
  <c r="H19" i="6" s="1"/>
  <c r="B19" i="6"/>
  <c r="C19" i="6"/>
  <c r="E7" i="6"/>
  <c r="F7" i="6" s="1"/>
  <c r="G7" i="6" s="1"/>
  <c r="H7" i="6" s="1"/>
  <c r="D7" i="6"/>
  <c r="E6" i="6"/>
  <c r="F6" i="6" s="1"/>
  <c r="G6" i="6" s="1"/>
  <c r="H6" i="6" s="1"/>
  <c r="D6" i="6"/>
  <c r="D21" i="6"/>
  <c r="E21" i="6"/>
  <c r="F21" i="6"/>
  <c r="G21" i="6"/>
  <c r="H21" i="6"/>
  <c r="E8" i="6"/>
  <c r="F8" i="6" s="1"/>
  <c r="G8" i="6" s="1"/>
  <c r="H8" i="6" s="1"/>
  <c r="D8" i="6"/>
  <c r="E22" i="6"/>
  <c r="F22" i="6"/>
  <c r="G22" i="6"/>
  <c r="H22" i="6"/>
  <c r="D22" i="6"/>
  <c r="C22" i="6"/>
  <c r="E4" i="6"/>
  <c r="F4" i="6"/>
  <c r="G4" i="6"/>
  <c r="H4" i="6"/>
  <c r="D4" i="6"/>
  <c r="E2" i="6"/>
  <c r="F2" i="6"/>
  <c r="G2" i="6" s="1"/>
  <c r="H2" i="6" s="1"/>
  <c r="D2" i="6"/>
  <c r="C16" i="6"/>
  <c r="B16" i="6"/>
  <c r="C8" i="6"/>
  <c r="B8" i="6"/>
  <c r="C7" i="6"/>
  <c r="B7" i="6"/>
  <c r="C6" i="6"/>
  <c r="B6" i="6"/>
  <c r="C4" i="6"/>
  <c r="B4" i="6"/>
  <c r="C3" i="6"/>
  <c r="B3" i="6"/>
  <c r="E1" i="6"/>
  <c r="F1" i="6" s="1"/>
  <c r="G1" i="6" s="1"/>
  <c r="H1" i="6" s="1"/>
  <c r="C1" i="6"/>
  <c r="C27" i="5"/>
  <c r="D26" i="5"/>
  <c r="D25" i="5" s="1"/>
  <c r="B5" i="5"/>
  <c r="E27" i="5"/>
  <c r="F27" i="5"/>
  <c r="G27" i="5"/>
  <c r="H27" i="5"/>
  <c r="D27" i="5"/>
  <c r="C22" i="5"/>
  <c r="B22" i="5"/>
  <c r="C26" i="5" s="1"/>
  <c r="C20" i="5"/>
  <c r="B20" i="5"/>
  <c r="C19" i="5"/>
  <c r="B19" i="5"/>
  <c r="C18" i="5"/>
  <c r="B18" i="5"/>
  <c r="C12" i="5"/>
  <c r="B12" i="5"/>
  <c r="C7" i="5"/>
  <c r="B7" i="5"/>
  <c r="C5" i="5"/>
  <c r="C2" i="5"/>
  <c r="B2" i="5"/>
  <c r="E1" i="5"/>
  <c r="F1" i="5" s="1"/>
  <c r="G1" i="5" s="1"/>
  <c r="H1" i="5" s="1"/>
  <c r="C1" i="5"/>
  <c r="D37" i="4"/>
  <c r="C14" i="4"/>
  <c r="C34" i="4" s="1"/>
  <c r="C15" i="4"/>
  <c r="C35" i="4" s="1"/>
  <c r="C16" i="4"/>
  <c r="C36" i="4" s="1"/>
  <c r="C17" i="4"/>
  <c r="C37" i="4" s="1"/>
  <c r="B17" i="4"/>
  <c r="B37" i="4" s="1"/>
  <c r="B16" i="4"/>
  <c r="B36" i="4" s="1"/>
  <c r="B15" i="4"/>
  <c r="B35" i="4" s="1"/>
  <c r="B14" i="4"/>
  <c r="B34" i="4" s="1"/>
  <c r="D34" i="4" s="1"/>
  <c r="C13" i="4"/>
  <c r="C33" i="4" s="1"/>
  <c r="B13" i="4"/>
  <c r="B33" i="4" s="1"/>
  <c r="C12" i="4"/>
  <c r="C32" i="4" s="1"/>
  <c r="B12" i="4"/>
  <c r="B32" i="4" s="1"/>
  <c r="C8" i="4"/>
  <c r="C27" i="4" s="1"/>
  <c r="C9" i="4"/>
  <c r="C28" i="4" s="1"/>
  <c r="C10" i="4"/>
  <c r="C29" i="4" s="1"/>
  <c r="B10" i="4"/>
  <c r="B29" i="4" s="1"/>
  <c r="D29" i="4" s="1"/>
  <c r="B9" i="4"/>
  <c r="B28" i="4" s="1"/>
  <c r="B8" i="4"/>
  <c r="B27" i="4" s="1"/>
  <c r="D27" i="4" s="1"/>
  <c r="C7" i="4"/>
  <c r="C26" i="4" s="1"/>
  <c r="B7" i="4"/>
  <c r="B26" i="4" s="1"/>
  <c r="D26" i="4" s="1"/>
  <c r="C6" i="4"/>
  <c r="C25" i="4" s="1"/>
  <c r="B6" i="4"/>
  <c r="B25" i="4" s="1"/>
  <c r="C5" i="4"/>
  <c r="C24" i="4" s="1"/>
  <c r="B5" i="4"/>
  <c r="B24" i="4" s="1"/>
  <c r="C4" i="4"/>
  <c r="C23" i="4" s="1"/>
  <c r="B4" i="4"/>
  <c r="B23" i="4" s="1"/>
  <c r="D23" i="4" s="1"/>
  <c r="C3" i="4"/>
  <c r="B3" i="4"/>
  <c r="B22" i="4" s="1"/>
  <c r="E1" i="4"/>
  <c r="F1" i="4" s="1"/>
  <c r="G1" i="4" s="1"/>
  <c r="H1" i="4" s="1"/>
  <c r="C1" i="4"/>
  <c r="C47" i="3"/>
  <c r="B47" i="3"/>
  <c r="F1" i="3"/>
  <c r="G1" i="3"/>
  <c r="H1" i="3"/>
  <c r="E1" i="3"/>
  <c r="C1" i="3"/>
  <c r="C70" i="2"/>
  <c r="C71" i="2" s="1"/>
  <c r="D71" i="2" s="1"/>
  <c r="E71" i="2" s="1"/>
  <c r="F71" i="2" s="1"/>
  <c r="G71" i="2" s="1"/>
  <c r="H71" i="2" s="1"/>
  <c r="B70" i="2"/>
  <c r="C66" i="2"/>
  <c r="C67" i="2" s="1"/>
  <c r="D67" i="2" s="1"/>
  <c r="E67" i="2" s="1"/>
  <c r="F67" i="2" s="1"/>
  <c r="G67" i="2" s="1"/>
  <c r="H67" i="2" s="1"/>
  <c r="E16" i="1"/>
  <c r="F16" i="1"/>
  <c r="G16" i="1" s="1"/>
  <c r="H16" i="1" s="1"/>
  <c r="D16" i="1"/>
  <c r="E14" i="1"/>
  <c r="E9" i="2"/>
  <c r="F9" i="2"/>
  <c r="F14" i="1" s="1"/>
  <c r="G9" i="2"/>
  <c r="G14" i="1" s="1"/>
  <c r="H9" i="2"/>
  <c r="H14" i="1" s="1"/>
  <c r="D9" i="2"/>
  <c r="D14" i="1" s="1"/>
  <c r="C57" i="2"/>
  <c r="E57" i="2" s="1"/>
  <c r="C45" i="2"/>
  <c r="E7" i="1"/>
  <c r="F7" i="1"/>
  <c r="E6" i="2"/>
  <c r="F6" i="2"/>
  <c r="G6" i="2"/>
  <c r="G7" i="1" s="1"/>
  <c r="H6" i="2"/>
  <c r="H7" i="1" s="1"/>
  <c r="D6" i="2"/>
  <c r="D7" i="1" s="1"/>
  <c r="E40" i="2"/>
  <c r="F40" i="2" s="1"/>
  <c r="G40" i="2" s="1"/>
  <c r="H40" i="2" s="1"/>
  <c r="C39" i="2"/>
  <c r="D39" i="2" s="1"/>
  <c r="E39" i="2" s="1"/>
  <c r="D37" i="2"/>
  <c r="E37" i="2" s="1"/>
  <c r="E38" i="2"/>
  <c r="F38" i="2" s="1"/>
  <c r="G38" i="2" s="1"/>
  <c r="H38" i="2" s="1"/>
  <c r="C38" i="2"/>
  <c r="C36" i="2"/>
  <c r="C4" i="1"/>
  <c r="B4" i="1"/>
  <c r="E27" i="2"/>
  <c r="F27" i="2" s="1"/>
  <c r="G27" i="2" s="1"/>
  <c r="H27" i="2" s="1"/>
  <c r="D22" i="2"/>
  <c r="E22" i="2" s="1"/>
  <c r="F23" i="2"/>
  <c r="G23" i="2" s="1"/>
  <c r="H23" i="2" s="1"/>
  <c r="E21" i="2"/>
  <c r="E20" i="2" s="1"/>
  <c r="E23" i="2"/>
  <c r="D20" i="2"/>
  <c r="D18" i="2"/>
  <c r="E19" i="2"/>
  <c r="F19" i="2" s="1"/>
  <c r="G19" i="2" s="1"/>
  <c r="H19" i="2" s="1"/>
  <c r="D16" i="2"/>
  <c r="E17" i="2"/>
  <c r="F17" i="2" s="1"/>
  <c r="G17" i="2" s="1"/>
  <c r="H17" i="2" s="1"/>
  <c r="C24" i="2"/>
  <c r="C25" i="2" s="1"/>
  <c r="B24" i="2"/>
  <c r="C23" i="2"/>
  <c r="C21" i="2"/>
  <c r="C19" i="2"/>
  <c r="C17" i="2"/>
  <c r="C13" i="2"/>
  <c r="B13" i="2"/>
  <c r="C12" i="2"/>
  <c r="C11" i="2" s="1"/>
  <c r="B12" i="2"/>
  <c r="B68" i="2" s="1"/>
  <c r="C10" i="2"/>
  <c r="D10" i="2" s="1"/>
  <c r="E10" i="2" s="1"/>
  <c r="F10" i="2" s="1"/>
  <c r="G10" i="2" s="1"/>
  <c r="H10" i="2" s="1"/>
  <c r="B10" i="2"/>
  <c r="C9" i="2"/>
  <c r="B9" i="2"/>
  <c r="C8" i="2"/>
  <c r="C42" i="2" s="1"/>
  <c r="C43" i="2" s="1"/>
  <c r="B8" i="2"/>
  <c r="B42" i="2" s="1"/>
  <c r="B43" i="2" s="1"/>
  <c r="C7" i="2"/>
  <c r="B7" i="2"/>
  <c r="B36" i="2" s="1"/>
  <c r="B39" i="2" s="1"/>
  <c r="C6" i="2"/>
  <c r="B6" i="2"/>
  <c r="C5" i="2"/>
  <c r="C33" i="2" s="1"/>
  <c r="B5" i="2"/>
  <c r="C4" i="2"/>
  <c r="C30" i="2" s="1"/>
  <c r="B4" i="2"/>
  <c r="B30" i="2" s="1"/>
  <c r="C3" i="2"/>
  <c r="C26" i="2" s="1"/>
  <c r="B3" i="2"/>
  <c r="B26" i="2" s="1"/>
  <c r="C2" i="2"/>
  <c r="C49" i="2" s="1"/>
  <c r="B2" i="2"/>
  <c r="B57" i="2" s="1"/>
  <c r="D57" i="2" s="1"/>
  <c r="B1" i="2"/>
  <c r="C1" i="2" s="1"/>
  <c r="E1" i="1"/>
  <c r="F1" i="1" s="1"/>
  <c r="G1" i="1" s="1"/>
  <c r="H1" i="1" s="1"/>
  <c r="D1" i="1"/>
  <c r="C1" i="1"/>
  <c r="D12" i="10" l="1"/>
  <c r="D16" i="10" s="1"/>
  <c r="B6" i="7"/>
  <c r="B5" i="8"/>
  <c r="D10" i="5"/>
  <c r="D9" i="5"/>
  <c r="D7" i="5"/>
  <c r="D8" i="5"/>
  <c r="E80" i="2"/>
  <c r="D42" i="4"/>
  <c r="E79" i="2"/>
  <c r="D11" i="3"/>
  <c r="D33" i="4"/>
  <c r="E33" i="4"/>
  <c r="E37" i="4"/>
  <c r="F37" i="4" s="1"/>
  <c r="C18" i="4"/>
  <c r="E29" i="4"/>
  <c r="D24" i="4"/>
  <c r="D32" i="4"/>
  <c r="F29" i="4"/>
  <c r="E32" i="4"/>
  <c r="F32" i="4" s="1"/>
  <c r="E24" i="4"/>
  <c r="F33" i="4"/>
  <c r="G33" i="4" s="1"/>
  <c r="H33" i="4" s="1"/>
  <c r="E26" i="4"/>
  <c r="F26" i="4" s="1"/>
  <c r="D35" i="4"/>
  <c r="D36" i="4"/>
  <c r="E36" i="4" s="1"/>
  <c r="D28" i="4"/>
  <c r="E35" i="4"/>
  <c r="E28" i="4"/>
  <c r="E23" i="4"/>
  <c r="F23" i="4" s="1"/>
  <c r="E27" i="4"/>
  <c r="F27" i="4" s="1"/>
  <c r="E34" i="4"/>
  <c r="F34" i="4" s="1"/>
  <c r="G34" i="4" s="1"/>
  <c r="H34" i="4" s="1"/>
  <c r="B18" i="4"/>
  <c r="C19" i="4" s="1"/>
  <c r="C6" i="10" s="1"/>
  <c r="C9" i="10" s="1"/>
  <c r="C22" i="4"/>
  <c r="D22" i="4" s="1"/>
  <c r="E39" i="7"/>
  <c r="D39" i="7" s="1"/>
  <c r="C39" i="7" s="1"/>
  <c r="B44" i="7"/>
  <c r="B45" i="7" s="1"/>
  <c r="B46" i="7" s="1"/>
  <c r="B16" i="8"/>
  <c r="B15" i="8"/>
  <c r="C15" i="7"/>
  <c r="D15" i="7" s="1"/>
  <c r="E15" i="7" s="1"/>
  <c r="F15" i="7" s="1"/>
  <c r="B19" i="8"/>
  <c r="C19" i="8" s="1"/>
  <c r="D19" i="8" s="1"/>
  <c r="E19" i="8" s="1"/>
  <c r="F19" i="8" s="1"/>
  <c r="F19" i="7"/>
  <c r="F21" i="2"/>
  <c r="G21" i="2" s="1"/>
  <c r="H21" i="2" s="1"/>
  <c r="B47" i="2"/>
  <c r="D47" i="2" s="1"/>
  <c r="C59" i="2"/>
  <c r="B31" i="2"/>
  <c r="D31" i="2" s="1"/>
  <c r="B63" i="2"/>
  <c r="D63" i="2" s="1"/>
  <c r="B34" i="2"/>
  <c r="D34" i="2" s="1"/>
  <c r="E34" i="2" s="1"/>
  <c r="B33" i="2"/>
  <c r="C51" i="2"/>
  <c r="C63" i="2"/>
  <c r="C47" i="2"/>
  <c r="C40" i="2"/>
  <c r="B49" i="2"/>
  <c r="D49" i="2" s="1"/>
  <c r="C61" i="2"/>
  <c r="B51" i="2"/>
  <c r="D51" i="2" s="1"/>
  <c r="C34" i="2"/>
  <c r="D24" i="2"/>
  <c r="D25" i="2" s="1"/>
  <c r="B53" i="2"/>
  <c r="D53" i="2" s="1"/>
  <c r="B65" i="2"/>
  <c r="C65" i="2"/>
  <c r="E18" i="2"/>
  <c r="B55" i="2"/>
  <c r="B61" i="2"/>
  <c r="C31" i="2"/>
  <c r="E31" i="2" s="1"/>
  <c r="C53" i="2"/>
  <c r="B11" i="2"/>
  <c r="B66" i="2" s="1"/>
  <c r="B67" i="2" s="1"/>
  <c r="C55" i="2"/>
  <c r="B59" i="2"/>
  <c r="D59" i="2" s="1"/>
  <c r="F22" i="2"/>
  <c r="G22" i="2" s="1"/>
  <c r="H22" i="2" s="1"/>
  <c r="B45" i="2"/>
  <c r="D45" i="2" s="1"/>
  <c r="C68" i="2"/>
  <c r="C69" i="2" s="1"/>
  <c r="D69" i="2" s="1"/>
  <c r="E69" i="2" s="1"/>
  <c r="F69" i="2" s="1"/>
  <c r="G69" i="2" s="1"/>
  <c r="H69" i="2" s="1"/>
  <c r="B17" i="5"/>
  <c r="C17" i="5"/>
  <c r="B23" i="5"/>
  <c r="C25" i="5"/>
  <c r="C12" i="10" s="1"/>
  <c r="C16" i="10" s="1"/>
  <c r="C23" i="5"/>
  <c r="G37" i="4"/>
  <c r="H37" i="4" s="1"/>
  <c r="F57" i="2"/>
  <c r="F39" i="2"/>
  <c r="G39" i="2" s="1"/>
  <c r="H39" i="2" s="1"/>
  <c r="E36" i="2"/>
  <c r="E7" i="2" s="1"/>
  <c r="E8" i="1" s="1"/>
  <c r="F37" i="2"/>
  <c r="D36" i="2"/>
  <c r="D7" i="2" s="1"/>
  <c r="D8" i="1" s="1"/>
  <c r="C27" i="2"/>
  <c r="D26" i="2"/>
  <c r="D3" i="1" s="1"/>
  <c r="F18" i="2"/>
  <c r="G18" i="2" s="1"/>
  <c r="H18" i="2" s="1"/>
  <c r="C15" i="2"/>
  <c r="D1" i="2"/>
  <c r="D2" i="2"/>
  <c r="D30" i="2" s="1"/>
  <c r="E16" i="2"/>
  <c r="B15" i="2"/>
  <c r="E26" i="2"/>
  <c r="D23" i="5" l="1"/>
  <c r="E23" i="5" s="1"/>
  <c r="F23" i="5" s="1"/>
  <c r="G23" i="5" s="1"/>
  <c r="H23" i="5" s="1"/>
  <c r="D22" i="5"/>
  <c r="F80" i="2"/>
  <c r="E12" i="3"/>
  <c r="E42" i="4" s="1"/>
  <c r="F79" i="2"/>
  <c r="E11" i="3"/>
  <c r="G32" i="4"/>
  <c r="H32" i="4" s="1"/>
  <c r="G23" i="4"/>
  <c r="H23" i="4" s="1"/>
  <c r="E22" i="4"/>
  <c r="F36" i="4"/>
  <c r="G36" i="4" s="1"/>
  <c r="H36" i="4" s="1"/>
  <c r="F28" i="4"/>
  <c r="F35" i="4"/>
  <c r="F24" i="4"/>
  <c r="G24" i="4" s="1"/>
  <c r="G27" i="4"/>
  <c r="H27" i="4" s="1"/>
  <c r="G26" i="4"/>
  <c r="H26" i="4" s="1"/>
  <c r="G29" i="4"/>
  <c r="H29" i="4" s="1"/>
  <c r="F31" i="2"/>
  <c r="D4" i="2"/>
  <c r="D5" i="1"/>
  <c r="D46" i="2"/>
  <c r="E53" i="2"/>
  <c r="D48" i="2"/>
  <c r="D55" i="2"/>
  <c r="D54" i="2" s="1"/>
  <c r="D56" i="2"/>
  <c r="E47" i="2"/>
  <c r="E49" i="2"/>
  <c r="D52" i="2"/>
  <c r="E55" i="2"/>
  <c r="G57" i="2"/>
  <c r="D58" i="2"/>
  <c r="E63" i="2"/>
  <c r="B71" i="2"/>
  <c r="D62" i="2"/>
  <c r="D50" i="2"/>
  <c r="D44" i="2"/>
  <c r="F45" i="2"/>
  <c r="E51" i="2"/>
  <c r="B69" i="2"/>
  <c r="E59" i="2"/>
  <c r="D61" i="2"/>
  <c r="D60" i="2" s="1"/>
  <c r="F20" i="2"/>
  <c r="G20" i="2" s="1"/>
  <c r="H20" i="2" s="1"/>
  <c r="D65" i="2"/>
  <c r="E45" i="2"/>
  <c r="H57" i="2"/>
  <c r="F36" i="2"/>
  <c r="F7" i="2" s="1"/>
  <c r="F8" i="1" s="1"/>
  <c r="G37" i="2"/>
  <c r="D2" i="1"/>
  <c r="D33" i="2"/>
  <c r="D15" i="2"/>
  <c r="E1" i="2"/>
  <c r="G31" i="2"/>
  <c r="D4" i="1"/>
  <c r="F34" i="2"/>
  <c r="G34" i="2" s="1"/>
  <c r="F16" i="2"/>
  <c r="E24" i="2"/>
  <c r="F26" i="2"/>
  <c r="E3" i="2"/>
  <c r="E3" i="1" s="1"/>
  <c r="D10" i="1" l="1"/>
  <c r="E26" i="5"/>
  <c r="E25" i="5" s="1"/>
  <c r="B3" i="8"/>
  <c r="D12" i="5"/>
  <c r="G80" i="2"/>
  <c r="F12" i="3"/>
  <c r="F42" i="4" s="1"/>
  <c r="G79" i="2"/>
  <c r="F11" i="3"/>
  <c r="G35" i="4"/>
  <c r="H35" i="4"/>
  <c r="F22" i="4"/>
  <c r="G22" i="4"/>
  <c r="H22" i="4" s="1"/>
  <c r="H24" i="4"/>
  <c r="G28" i="4"/>
  <c r="H28" i="4" s="1"/>
  <c r="F47" i="2"/>
  <c r="G47" i="2"/>
  <c r="D42" i="2"/>
  <c r="F51" i="2"/>
  <c r="E44" i="2"/>
  <c r="F63" i="2"/>
  <c r="E62" i="2"/>
  <c r="G63" i="2"/>
  <c r="F55" i="2"/>
  <c r="G55" i="2"/>
  <c r="E65" i="2"/>
  <c r="D64" i="2"/>
  <c r="D6" i="1"/>
  <c r="D5" i="2"/>
  <c r="F59" i="2"/>
  <c r="E58" i="2"/>
  <c r="G59" i="2"/>
  <c r="G45" i="2"/>
  <c r="H45" i="2"/>
  <c r="F49" i="2"/>
  <c r="G49" i="2"/>
  <c r="F53" i="2"/>
  <c r="E52" i="2"/>
  <c r="G53" i="2"/>
  <c r="D6" i="4"/>
  <c r="D20" i="3" s="1"/>
  <c r="D7" i="4"/>
  <c r="D21" i="3" s="1"/>
  <c r="D17" i="4"/>
  <c r="D46" i="3" s="1"/>
  <c r="D14" i="4"/>
  <c r="D43" i="3" s="1"/>
  <c r="D4" i="4"/>
  <c r="D17" i="3" s="1"/>
  <c r="D8" i="4"/>
  <c r="D22" i="3" s="1"/>
  <c r="D12" i="4"/>
  <c r="D41" i="3" s="1"/>
  <c r="D16" i="4"/>
  <c r="D45" i="3" s="1"/>
  <c r="D3" i="4"/>
  <c r="D10" i="4"/>
  <c r="D24" i="3" s="1"/>
  <c r="D5" i="4"/>
  <c r="D18" i="3" s="1"/>
  <c r="D13" i="4"/>
  <c r="D42" i="3" s="1"/>
  <c r="D15" i="4"/>
  <c r="D44" i="3" s="1"/>
  <c r="D9" i="4"/>
  <c r="D23" i="3" s="1"/>
  <c r="E61" i="2"/>
  <c r="G36" i="2"/>
  <c r="G7" i="2" s="1"/>
  <c r="G8" i="1" s="1"/>
  <c r="H37" i="2"/>
  <c r="H36" i="2" s="1"/>
  <c r="H7" i="2" s="1"/>
  <c r="H8" i="1" s="1"/>
  <c r="E2" i="2"/>
  <c r="E56" i="2" s="1"/>
  <c r="E25" i="2"/>
  <c r="G16" i="2"/>
  <c r="F24" i="2"/>
  <c r="H34" i="2"/>
  <c r="H31" i="2"/>
  <c r="E15" i="2"/>
  <c r="F1" i="2"/>
  <c r="G26" i="2"/>
  <c r="F3" i="2"/>
  <c r="F3" i="1" s="1"/>
  <c r="D15" i="5" l="1"/>
  <c r="D20" i="5" s="1"/>
  <c r="D5" i="5" s="1"/>
  <c r="D7" i="3" s="1"/>
  <c r="D14" i="5"/>
  <c r="D19" i="5" s="1"/>
  <c r="D4" i="5" s="1"/>
  <c r="D13" i="5"/>
  <c r="D18" i="5" s="1"/>
  <c r="D3" i="5" s="1"/>
  <c r="D2" i="5" s="1"/>
  <c r="D4" i="3" s="1"/>
  <c r="D17" i="5"/>
  <c r="E12" i="10"/>
  <c r="E16" i="10" s="1"/>
  <c r="C5" i="8"/>
  <c r="C6" i="7"/>
  <c r="E7" i="5"/>
  <c r="D4" i="10"/>
  <c r="B4" i="7"/>
  <c r="H80" i="2"/>
  <c r="H12" i="3" s="1"/>
  <c r="H40" i="4" s="1"/>
  <c r="H42" i="4" s="1"/>
  <c r="G12" i="3"/>
  <c r="G40" i="4" s="1"/>
  <c r="G42" i="4" s="1"/>
  <c r="H79" i="2"/>
  <c r="H11" i="3" s="1"/>
  <c r="G11" i="3"/>
  <c r="D16" i="3"/>
  <c r="D25" i="3" s="1"/>
  <c r="D18" i="4"/>
  <c r="D19" i="4" s="1"/>
  <c r="F61" i="2"/>
  <c r="E60" i="2"/>
  <c r="G61" i="2"/>
  <c r="H53" i="2"/>
  <c r="F62" i="2"/>
  <c r="E48" i="2"/>
  <c r="E50" i="2"/>
  <c r="E42" i="2" s="1"/>
  <c r="H59" i="2"/>
  <c r="H55" i="2"/>
  <c r="H47" i="2"/>
  <c r="D8" i="2"/>
  <c r="D11" i="1"/>
  <c r="D12" i="1" s="1"/>
  <c r="D13" i="1" s="1"/>
  <c r="D15" i="1" s="1"/>
  <c r="D17" i="1" s="1"/>
  <c r="D43" i="2"/>
  <c r="F65" i="2"/>
  <c r="E64" i="2"/>
  <c r="E54" i="2"/>
  <c r="E46" i="2"/>
  <c r="H63" i="2"/>
  <c r="H49" i="2"/>
  <c r="F48" i="2"/>
  <c r="G51" i="2"/>
  <c r="G1" i="2"/>
  <c r="F15" i="2"/>
  <c r="F25" i="2"/>
  <c r="F2" i="2"/>
  <c r="F52" i="2" s="1"/>
  <c r="H16" i="2"/>
  <c r="H24" i="2" s="1"/>
  <c r="G24" i="2"/>
  <c r="E33" i="2"/>
  <c r="E2" i="1"/>
  <c r="E30" i="2"/>
  <c r="H26" i="2"/>
  <c r="H3" i="2" s="1"/>
  <c r="H3" i="1" s="1"/>
  <c r="G3" i="2"/>
  <c r="G3" i="1" s="1"/>
  <c r="E22" i="5" l="1"/>
  <c r="E10" i="5"/>
  <c r="E8" i="5"/>
  <c r="E9" i="5"/>
  <c r="D3" i="10"/>
  <c r="B2" i="7"/>
  <c r="D6" i="10"/>
  <c r="B5" i="7"/>
  <c r="B4" i="8"/>
  <c r="B32" i="8"/>
  <c r="E43" i="2"/>
  <c r="E11" i="1"/>
  <c r="E8" i="2"/>
  <c r="F64" i="2"/>
  <c r="H65" i="2"/>
  <c r="E4" i="2"/>
  <c r="E5" i="1"/>
  <c r="E4" i="1"/>
  <c r="E10" i="4"/>
  <c r="E24" i="3" s="1"/>
  <c r="E5" i="4"/>
  <c r="E18" i="3" s="1"/>
  <c r="E6" i="4"/>
  <c r="E20" i="3" s="1"/>
  <c r="E13" i="4"/>
  <c r="E42" i="3" s="1"/>
  <c r="E17" i="4"/>
  <c r="E46" i="3" s="1"/>
  <c r="E4" i="4"/>
  <c r="E17" i="3" s="1"/>
  <c r="E7" i="4"/>
  <c r="E21" i="3" s="1"/>
  <c r="E14" i="4"/>
  <c r="E43" i="3" s="1"/>
  <c r="E3" i="4"/>
  <c r="E15" i="4"/>
  <c r="E44" i="3" s="1"/>
  <c r="E9" i="4"/>
  <c r="E23" i="3" s="1"/>
  <c r="E12" i="4"/>
  <c r="E41" i="3" s="1"/>
  <c r="E16" i="4"/>
  <c r="E45" i="3" s="1"/>
  <c r="E8" i="4"/>
  <c r="E22" i="3" s="1"/>
  <c r="E5" i="2"/>
  <c r="E6" i="1"/>
  <c r="F50" i="2"/>
  <c r="F56" i="2"/>
  <c r="F44" i="2"/>
  <c r="F46" i="2"/>
  <c r="H61" i="2"/>
  <c r="F58" i="2"/>
  <c r="F54" i="2"/>
  <c r="G65" i="2"/>
  <c r="D66" i="2"/>
  <c r="H51" i="2"/>
  <c r="F60" i="2"/>
  <c r="G25" i="2"/>
  <c r="G2" i="2"/>
  <c r="H25" i="2"/>
  <c r="H2" i="2"/>
  <c r="H52" i="2" s="1"/>
  <c r="F2" i="1"/>
  <c r="F33" i="2"/>
  <c r="F30" i="2"/>
  <c r="G15" i="2"/>
  <c r="H1" i="2"/>
  <c r="H15" i="2" s="1"/>
  <c r="F26" i="5" l="1"/>
  <c r="F25" i="5" s="1"/>
  <c r="C3" i="8"/>
  <c r="E10" i="1"/>
  <c r="E12" i="5"/>
  <c r="E12" i="1"/>
  <c r="E13" i="1" s="1"/>
  <c r="E15" i="1" s="1"/>
  <c r="E17" i="1" s="1"/>
  <c r="D9" i="10"/>
  <c r="B3" i="7"/>
  <c r="B2" i="8"/>
  <c r="B7" i="8" s="1"/>
  <c r="B20" i="8" s="1"/>
  <c r="B21" i="8" s="1"/>
  <c r="B7" i="7"/>
  <c r="B20" i="7" s="1"/>
  <c r="B21" i="7" s="1"/>
  <c r="E16" i="3"/>
  <c r="E25" i="3" s="1"/>
  <c r="E18" i="4"/>
  <c r="E19" i="4" s="1"/>
  <c r="H58" i="2"/>
  <c r="H48" i="2"/>
  <c r="G56" i="2"/>
  <c r="G58" i="2"/>
  <c r="G44" i="2"/>
  <c r="G46" i="2"/>
  <c r="G62" i="2"/>
  <c r="G54" i="2"/>
  <c r="G52" i="2"/>
  <c r="G48" i="2"/>
  <c r="H64" i="2"/>
  <c r="G60" i="2"/>
  <c r="G64" i="2"/>
  <c r="H56" i="2"/>
  <c r="H44" i="2"/>
  <c r="F42" i="2"/>
  <c r="D11" i="2"/>
  <c r="D68" i="2"/>
  <c r="D12" i="2" s="1"/>
  <c r="D18" i="1" s="1"/>
  <c r="D70" i="2"/>
  <c r="D13" i="2" s="1"/>
  <c r="D19" i="1" s="1"/>
  <c r="G50" i="2"/>
  <c r="H46" i="2"/>
  <c r="F5" i="2"/>
  <c r="F6" i="1"/>
  <c r="H60" i="2"/>
  <c r="H50" i="2"/>
  <c r="H54" i="2"/>
  <c r="F4" i="2"/>
  <c r="F5" i="1"/>
  <c r="F4" i="1"/>
  <c r="F16" i="4"/>
  <c r="F45" i="3" s="1"/>
  <c r="F3" i="4"/>
  <c r="F10" i="4"/>
  <c r="F24" i="3" s="1"/>
  <c r="F9" i="4"/>
  <c r="F23" i="3" s="1"/>
  <c r="F17" i="4"/>
  <c r="F46" i="3" s="1"/>
  <c r="F5" i="4"/>
  <c r="F18" i="3" s="1"/>
  <c r="F4" i="4"/>
  <c r="F17" i="3" s="1"/>
  <c r="F13" i="4"/>
  <c r="F42" i="3" s="1"/>
  <c r="F7" i="4"/>
  <c r="F21" i="3" s="1"/>
  <c r="F12" i="4"/>
  <c r="F41" i="3" s="1"/>
  <c r="F15" i="4"/>
  <c r="F44" i="3" s="1"/>
  <c r="F6" i="4"/>
  <c r="F20" i="3" s="1"/>
  <c r="F8" i="4"/>
  <c r="F22" i="3" s="1"/>
  <c r="F14" i="4"/>
  <c r="F43" i="3" s="1"/>
  <c r="H62" i="2"/>
  <c r="H2" i="1"/>
  <c r="H33" i="2"/>
  <c r="H30" i="2"/>
  <c r="G2" i="1"/>
  <c r="G33" i="2"/>
  <c r="G30" i="2"/>
  <c r="E3" i="10" l="1"/>
  <c r="C2" i="7"/>
  <c r="E13" i="5"/>
  <c r="E18" i="5" s="1"/>
  <c r="E3" i="5" s="1"/>
  <c r="E14" i="5"/>
  <c r="E19" i="5" s="1"/>
  <c r="E4" i="5" s="1"/>
  <c r="E15" i="5"/>
  <c r="E20" i="5" s="1"/>
  <c r="E5" i="5" s="1"/>
  <c r="E7" i="3" s="1"/>
  <c r="E17" i="5"/>
  <c r="E4" i="10"/>
  <c r="C4" i="7"/>
  <c r="E66" i="2"/>
  <c r="E68" i="2" s="1"/>
  <c r="E12" i="2" s="1"/>
  <c r="E18" i="1" s="1"/>
  <c r="F12" i="10"/>
  <c r="F16" i="10" s="1"/>
  <c r="D5" i="8"/>
  <c r="D6" i="7"/>
  <c r="F7" i="5"/>
  <c r="F16" i="3"/>
  <c r="F25" i="3" s="1"/>
  <c r="F18" i="4"/>
  <c r="F19" i="4" s="1"/>
  <c r="E6" i="10"/>
  <c r="C4" i="8"/>
  <c r="C5" i="7"/>
  <c r="D20" i="1"/>
  <c r="F43" i="2"/>
  <c r="F11" i="1"/>
  <c r="F8" i="2"/>
  <c r="G4" i="2"/>
  <c r="G5" i="1"/>
  <c r="H42" i="2"/>
  <c r="G6" i="1"/>
  <c r="G5" i="2"/>
  <c r="G42" i="2"/>
  <c r="G4" i="1"/>
  <c r="G8" i="4"/>
  <c r="G22" i="3" s="1"/>
  <c r="G15" i="4"/>
  <c r="G44" i="3" s="1"/>
  <c r="G16" i="4"/>
  <c r="G45" i="3" s="1"/>
  <c r="G3" i="4"/>
  <c r="G14" i="4"/>
  <c r="G43" i="3" s="1"/>
  <c r="G10" i="4"/>
  <c r="G24" i="3" s="1"/>
  <c r="G9" i="4"/>
  <c r="G23" i="3" s="1"/>
  <c r="G17" i="4"/>
  <c r="G46" i="3" s="1"/>
  <c r="G4" i="4"/>
  <c r="G17" i="3" s="1"/>
  <c r="G5" i="4"/>
  <c r="G18" i="3" s="1"/>
  <c r="G13" i="4"/>
  <c r="G42" i="3" s="1"/>
  <c r="G12" i="4"/>
  <c r="G41" i="3" s="1"/>
  <c r="G7" i="4"/>
  <c r="G21" i="3" s="1"/>
  <c r="G6" i="4"/>
  <c r="G20" i="3" s="1"/>
  <c r="H4" i="2"/>
  <c r="H5" i="1"/>
  <c r="H5" i="2"/>
  <c r="H6" i="1"/>
  <c r="H4" i="1"/>
  <c r="H14" i="4"/>
  <c r="H43" i="3" s="1"/>
  <c r="H9" i="4"/>
  <c r="H23" i="3" s="1"/>
  <c r="H8" i="4"/>
  <c r="H22" i="3" s="1"/>
  <c r="H4" i="4"/>
  <c r="H17" i="3" s="1"/>
  <c r="H16" i="4"/>
  <c r="H45" i="3" s="1"/>
  <c r="H3" i="4"/>
  <c r="H15" i="4"/>
  <c r="H44" i="3" s="1"/>
  <c r="H17" i="4"/>
  <c r="H46" i="3" s="1"/>
  <c r="H10" i="4"/>
  <c r="H24" i="3" s="1"/>
  <c r="H12" i="4"/>
  <c r="H41" i="3" s="1"/>
  <c r="H5" i="4"/>
  <c r="H18" i="3" s="1"/>
  <c r="H7" i="4"/>
  <c r="H21" i="3" s="1"/>
  <c r="H6" i="4"/>
  <c r="H20" i="3" s="1"/>
  <c r="H13" i="4"/>
  <c r="H42" i="3" s="1"/>
  <c r="E2" i="5" l="1"/>
  <c r="E4" i="3" s="1"/>
  <c r="C7" i="8"/>
  <c r="E11" i="2"/>
  <c r="E70" i="2"/>
  <c r="E13" i="2" s="1"/>
  <c r="E19" i="1" s="1"/>
  <c r="E20" i="1" s="1"/>
  <c r="F10" i="5"/>
  <c r="F8" i="5"/>
  <c r="F9" i="5"/>
  <c r="F22" i="5"/>
  <c r="C3" i="7"/>
  <c r="C7" i="7" s="1"/>
  <c r="C2" i="8"/>
  <c r="E9" i="10"/>
  <c r="D21" i="1"/>
  <c r="D25" i="1" s="1"/>
  <c r="H16" i="3"/>
  <c r="H25" i="3" s="1"/>
  <c r="H18" i="4"/>
  <c r="C20" i="8"/>
  <c r="C21" i="8" s="1"/>
  <c r="C8" i="8"/>
  <c r="F6" i="10"/>
  <c r="D4" i="8"/>
  <c r="D5" i="7"/>
  <c r="G16" i="3"/>
  <c r="G25" i="3" s="1"/>
  <c r="G18" i="4"/>
  <c r="G19" i="4" s="1"/>
  <c r="H43" i="2"/>
  <c r="H11" i="1"/>
  <c r="H8" i="2"/>
  <c r="G43" i="2"/>
  <c r="G8" i="2"/>
  <c r="G11" i="1"/>
  <c r="C20" i="7" l="1"/>
  <c r="C21" i="7" s="1"/>
  <c r="C8" i="7"/>
  <c r="E21" i="1"/>
  <c r="E25" i="1" s="1"/>
  <c r="G26" i="5"/>
  <c r="G25" i="5" s="1"/>
  <c r="D3" i="8"/>
  <c r="F10" i="1"/>
  <c r="F12" i="5"/>
  <c r="E22" i="1"/>
  <c r="D22" i="1"/>
  <c r="D29" i="3" s="1"/>
  <c r="G6" i="10"/>
  <c r="E4" i="8"/>
  <c r="E5" i="7"/>
  <c r="H19" i="4"/>
  <c r="F4" i="10" l="1"/>
  <c r="D4" i="7"/>
  <c r="F12" i="1"/>
  <c r="F13" i="1" s="1"/>
  <c r="F15" i="1" s="1"/>
  <c r="F17" i="1" s="1"/>
  <c r="G7" i="5"/>
  <c r="G12" i="10"/>
  <c r="G16" i="10" s="1"/>
  <c r="E5" i="8"/>
  <c r="E6" i="7"/>
  <c r="F13" i="5"/>
  <c r="F18" i="5" s="1"/>
  <c r="F3" i="5" s="1"/>
  <c r="F2" i="5" s="1"/>
  <c r="F4" i="3" s="1"/>
  <c r="F14" i="5"/>
  <c r="F19" i="5" s="1"/>
  <c r="F4" i="5" s="1"/>
  <c r="F15" i="5"/>
  <c r="F20" i="5" s="1"/>
  <c r="F5" i="5" s="1"/>
  <c r="F7" i="3" s="1"/>
  <c r="F17" i="5"/>
  <c r="E29" i="3"/>
  <c r="D47" i="3"/>
  <c r="H6" i="10"/>
  <c r="F4" i="8"/>
  <c r="F5" i="7"/>
  <c r="G8" i="5" l="1"/>
  <c r="G10" i="5"/>
  <c r="G9" i="5"/>
  <c r="G22" i="5"/>
  <c r="F66" i="2"/>
  <c r="F3" i="10"/>
  <c r="F9" i="10" s="1"/>
  <c r="D2" i="7"/>
  <c r="E47" i="3"/>
  <c r="H26" i="5" l="1"/>
  <c r="H25" i="5" s="1"/>
  <c r="E3" i="8"/>
  <c r="G10" i="1"/>
  <c r="G12" i="5"/>
  <c r="F11" i="2"/>
  <c r="F68" i="2"/>
  <c r="F12" i="2" s="1"/>
  <c r="F18" i="1" s="1"/>
  <c r="F70" i="2"/>
  <c r="F13" i="2" s="1"/>
  <c r="F19" i="1" s="1"/>
  <c r="D3" i="7"/>
  <c r="D7" i="7" s="1"/>
  <c r="D2" i="8"/>
  <c r="D7" i="8" s="1"/>
  <c r="D20" i="8" l="1"/>
  <c r="D21" i="8" s="1"/>
  <c r="D8" i="8"/>
  <c r="D20" i="7"/>
  <c r="D21" i="7" s="1"/>
  <c r="D8" i="7"/>
  <c r="F20" i="1"/>
  <c r="G15" i="5"/>
  <c r="G20" i="5" s="1"/>
  <c r="G5" i="5" s="1"/>
  <c r="G7" i="3" s="1"/>
  <c r="G14" i="5"/>
  <c r="G19" i="5" s="1"/>
  <c r="G4" i="5" s="1"/>
  <c r="G13" i="5"/>
  <c r="G18" i="5" s="1"/>
  <c r="G3" i="5" s="1"/>
  <c r="G2" i="5" s="1"/>
  <c r="G4" i="3" s="1"/>
  <c r="G17" i="5"/>
  <c r="G4" i="10"/>
  <c r="E4" i="7"/>
  <c r="G12" i="1"/>
  <c r="G13" i="1" s="1"/>
  <c r="G15" i="1" s="1"/>
  <c r="G17" i="1" s="1"/>
  <c r="H7" i="5"/>
  <c r="H12" i="10"/>
  <c r="H16" i="10" s="1"/>
  <c r="F5" i="8"/>
  <c r="F6" i="7"/>
  <c r="F21" i="1" l="1"/>
  <c r="F25" i="1" s="1"/>
  <c r="F22" i="1"/>
  <c r="F29" i="3" s="1"/>
  <c r="H22" i="5"/>
  <c r="H10" i="5"/>
  <c r="H8" i="5"/>
  <c r="H9" i="5"/>
  <c r="G66" i="2"/>
  <c r="G3" i="10"/>
  <c r="G9" i="10" s="1"/>
  <c r="E2" i="7"/>
  <c r="G11" i="2" l="1"/>
  <c r="G68" i="2"/>
  <c r="G12" i="2" s="1"/>
  <c r="G18" i="1" s="1"/>
  <c r="G70" i="2"/>
  <c r="G13" i="2" s="1"/>
  <c r="G19" i="1" s="1"/>
  <c r="F47" i="3"/>
  <c r="E3" i="7"/>
  <c r="E7" i="7" s="1"/>
  <c r="E2" i="8"/>
  <c r="E7" i="8" s="1"/>
  <c r="F3" i="8"/>
  <c r="H10" i="1"/>
  <c r="H12" i="5"/>
  <c r="E20" i="8" l="1"/>
  <c r="E21" i="8" s="1"/>
  <c r="E8" i="8"/>
  <c r="G20" i="1"/>
  <c r="H4" i="10"/>
  <c r="F4" i="7"/>
  <c r="H12" i="1"/>
  <c r="H13" i="1" s="1"/>
  <c r="H15" i="1" s="1"/>
  <c r="H17" i="1" s="1"/>
  <c r="E20" i="7"/>
  <c r="E21" i="7" s="1"/>
  <c r="E8" i="7"/>
  <c r="H13" i="5"/>
  <c r="H18" i="5" s="1"/>
  <c r="H3" i="5" s="1"/>
  <c r="H2" i="5" s="1"/>
  <c r="H4" i="3" s="1"/>
  <c r="H14" i="5"/>
  <c r="H19" i="5" s="1"/>
  <c r="H4" i="5" s="1"/>
  <c r="H15" i="5"/>
  <c r="H20" i="5" s="1"/>
  <c r="H5" i="5" s="1"/>
  <c r="H7" i="3" s="1"/>
  <c r="H17" i="5"/>
  <c r="H66" i="2" l="1"/>
  <c r="H3" i="10"/>
  <c r="H9" i="10" s="1"/>
  <c r="F2" i="7"/>
  <c r="G21" i="1"/>
  <c r="G25" i="1" s="1"/>
  <c r="F3" i="7" l="1"/>
  <c r="F7" i="7" s="1"/>
  <c r="F2" i="8"/>
  <c r="F7" i="8" s="1"/>
  <c r="G22" i="1"/>
  <c r="G29" i="3" s="1"/>
  <c r="H11" i="2"/>
  <c r="H68" i="2"/>
  <c r="H12" i="2" s="1"/>
  <c r="H18" i="1" s="1"/>
  <c r="H20" i="1" s="1"/>
  <c r="H70" i="2"/>
  <c r="H13" i="2" s="1"/>
  <c r="H19" i="1" s="1"/>
  <c r="G47" i="3" l="1"/>
  <c r="F20" i="8"/>
  <c r="F21" i="8" s="1"/>
  <c r="F8" i="8"/>
  <c r="F20" i="7"/>
  <c r="F8" i="7"/>
  <c r="H21" i="1"/>
  <c r="H25" i="1" s="1"/>
  <c r="H22" i="1" l="1"/>
  <c r="H29" i="3" s="1"/>
  <c r="H47" i="3" s="1"/>
  <c r="B24" i="7"/>
  <c r="F21" i="7"/>
  <c r="B25" i="7" s="1"/>
  <c r="B23" i="8" l="1"/>
  <c r="B26" i="7"/>
  <c r="B25" i="8" s="1"/>
  <c r="B24" i="8"/>
  <c r="B27" i="7" l="1"/>
  <c r="B31" i="7" s="1"/>
  <c r="B26" i="8" l="1"/>
  <c r="B32" i="7"/>
  <c r="B30" i="8"/>
  <c r="B34" i="7" l="1"/>
  <c r="B33" i="8" s="1"/>
  <c r="B39" i="7"/>
  <c r="B31" i="8"/>
</calcChain>
</file>

<file path=xl/sharedStrings.xml><?xml version="1.0" encoding="utf-8"?>
<sst xmlns="http://schemas.openxmlformats.org/spreadsheetml/2006/main" count="361" uniqueCount="253">
  <si>
    <t>Particulars</t>
  </si>
  <si>
    <t>Revenue from Operations</t>
  </si>
  <si>
    <t xml:space="preserve">Other Inocme </t>
  </si>
  <si>
    <t xml:space="preserve">Cost of Materials Consumed </t>
  </si>
  <si>
    <t>Purchase of Stock in Trade</t>
  </si>
  <si>
    <t>Changes in Inventories of FG and WIP</t>
  </si>
  <si>
    <t>Employee benefits expenses</t>
  </si>
  <si>
    <t>Other Expenses</t>
  </si>
  <si>
    <t>Share of equity accounted investee and tax</t>
  </si>
  <si>
    <t>Other Income</t>
  </si>
  <si>
    <t>Total Income</t>
  </si>
  <si>
    <t>Cost of Materials Consumed</t>
  </si>
  <si>
    <t>Purchases of Stock-in-trade</t>
  </si>
  <si>
    <t>Changes in inventories of FG and WIP</t>
  </si>
  <si>
    <t>Finance Costs</t>
  </si>
  <si>
    <t>Depreciation and amortisation expenses</t>
  </si>
  <si>
    <t>Total Expenses</t>
  </si>
  <si>
    <t>Profit before exceptional items, share of equity accounted investee and tax</t>
  </si>
  <si>
    <t>Profit before exceptional items and tax</t>
  </si>
  <si>
    <t>Exceptional items (net)</t>
  </si>
  <si>
    <t>Profit before Tax</t>
  </si>
  <si>
    <t>Current tax</t>
  </si>
  <si>
    <t>Deferred tax charge</t>
  </si>
  <si>
    <t>Profit after tax</t>
  </si>
  <si>
    <t>Dividend Paid</t>
  </si>
  <si>
    <t>Retained Earnings</t>
  </si>
  <si>
    <t>Tax</t>
  </si>
  <si>
    <t>Current Tax</t>
  </si>
  <si>
    <t>Home Care</t>
  </si>
  <si>
    <t>Growth %</t>
  </si>
  <si>
    <t>Beauty and Personal Care</t>
  </si>
  <si>
    <t>Foods and Refreshment</t>
  </si>
  <si>
    <t>Others (includes Exports, Consigments, etc)</t>
  </si>
  <si>
    <t>Revenue</t>
  </si>
  <si>
    <t>Industry Report (McKinsey, stastica, BCG etc)</t>
  </si>
  <si>
    <t>Revenue Drivers</t>
  </si>
  <si>
    <t>Cost Drivers</t>
  </si>
  <si>
    <t>Cost of materials consumed</t>
  </si>
  <si>
    <t xml:space="preserve">As % of Revenue </t>
  </si>
  <si>
    <t>Purchases of stock-in-trade</t>
  </si>
  <si>
    <t>As % of Revenue</t>
  </si>
  <si>
    <t>No. of Employee</t>
  </si>
  <si>
    <t>Revenue Per employee (in cr)</t>
  </si>
  <si>
    <t>Other Expense</t>
  </si>
  <si>
    <t>Advertising &amp; Promotion</t>
  </si>
  <si>
    <t>Carriage &amp; Freight</t>
  </si>
  <si>
    <t>Royalty</t>
  </si>
  <si>
    <t>Statuatory Report - in annual report - Section 20a</t>
  </si>
  <si>
    <t>Fees for central services from Unilever grp</t>
  </si>
  <si>
    <t>Processing Chg</t>
  </si>
  <si>
    <t>Power and Fuel</t>
  </si>
  <si>
    <t>Rent</t>
  </si>
  <si>
    <t>Travelling and car expenses</t>
  </si>
  <si>
    <t>Repairs</t>
  </si>
  <si>
    <t>CSR</t>
  </si>
  <si>
    <t xml:space="preserve">Miscellaneous </t>
  </si>
  <si>
    <t>Rate of Tax</t>
  </si>
  <si>
    <t>As % of Total Tax</t>
  </si>
  <si>
    <t>Deferred Tax charge</t>
  </si>
  <si>
    <t xml:space="preserve">Particulars </t>
  </si>
  <si>
    <t>Assets</t>
  </si>
  <si>
    <t xml:space="preserve">Non-Current Assets </t>
  </si>
  <si>
    <t xml:space="preserve">Property, Plant and equipment </t>
  </si>
  <si>
    <t>Capital work-in-progress</t>
  </si>
  <si>
    <t>Goodwill</t>
  </si>
  <si>
    <t>Other intangible assets</t>
  </si>
  <si>
    <t>Investments accounted for using equity method</t>
  </si>
  <si>
    <t>Investments</t>
  </si>
  <si>
    <t>Loans</t>
  </si>
  <si>
    <t>Other financial assets</t>
  </si>
  <si>
    <t>Deffered tax assets (net)</t>
  </si>
  <si>
    <t>Non-current tax assets (net)</t>
  </si>
  <si>
    <t>Other non-current assets</t>
  </si>
  <si>
    <t>Current Assests</t>
  </si>
  <si>
    <t>Inventories</t>
  </si>
  <si>
    <t>Trade receivables</t>
  </si>
  <si>
    <t>Cash and cash equivalents</t>
  </si>
  <si>
    <t>Bank balances other than cash equivalents</t>
  </si>
  <si>
    <t>Other financial assets (current)</t>
  </si>
  <si>
    <t>Assets held for sale</t>
  </si>
  <si>
    <t>Total Assets</t>
  </si>
  <si>
    <t>Equity And Liabilities</t>
  </si>
  <si>
    <t>Equity</t>
  </si>
  <si>
    <t>Equity share capital</t>
  </si>
  <si>
    <t>Other equity</t>
  </si>
  <si>
    <t>Non-controlling interests</t>
  </si>
  <si>
    <t>Liabilities</t>
  </si>
  <si>
    <t>Non-current Liabilities</t>
  </si>
  <si>
    <t>Lease Liabilities</t>
  </si>
  <si>
    <t>Other financial liabilities (non-current)</t>
  </si>
  <si>
    <t>Provisions (non-current)</t>
  </si>
  <si>
    <t>Deferred tax liabilities (net)</t>
  </si>
  <si>
    <t>Non-current tax liabilities (net)</t>
  </si>
  <si>
    <t>Current Liabilities</t>
  </si>
  <si>
    <t>Borrowings</t>
  </si>
  <si>
    <t xml:space="preserve">Trade payables - micro &amp; small enterprises </t>
  </si>
  <si>
    <t>Trade Payables - others</t>
  </si>
  <si>
    <t xml:space="preserve">Other financial liabilities </t>
  </si>
  <si>
    <t>Other current liabilities</t>
  </si>
  <si>
    <t>Provisions (current)</t>
  </si>
  <si>
    <t>Current tax liabilities</t>
  </si>
  <si>
    <t>Total Equity and Liability</t>
  </si>
  <si>
    <t xml:space="preserve">Working Capital Schedule </t>
  </si>
  <si>
    <t>Current Assets Other than Cash</t>
  </si>
  <si>
    <t>Trade Receivables</t>
  </si>
  <si>
    <t>Bank balances other than cash equivalent</t>
  </si>
  <si>
    <t xml:space="preserve">Other financial assets </t>
  </si>
  <si>
    <t>Trade payables - micro &amp; small enterprises</t>
  </si>
  <si>
    <t>Trade payables - others</t>
  </si>
  <si>
    <t>Current Tax Liabilities</t>
  </si>
  <si>
    <t>Net Working Capital</t>
  </si>
  <si>
    <t>Changes in NWC</t>
  </si>
  <si>
    <t>Current Assets in days of sales:</t>
  </si>
  <si>
    <t xml:space="preserve">Inventories </t>
  </si>
  <si>
    <t>Other current assets</t>
  </si>
  <si>
    <t>Current Liabilities in days of sales:</t>
  </si>
  <si>
    <t>Trade payables - Others</t>
  </si>
  <si>
    <t>Other financial liabilities</t>
  </si>
  <si>
    <t xml:space="preserve">Capital Schedule </t>
  </si>
  <si>
    <t xml:space="preserve">Property, Plant and Equipment </t>
  </si>
  <si>
    <t>Owned</t>
  </si>
  <si>
    <t>Leased (Right of Use Assets)</t>
  </si>
  <si>
    <t>Other Intangible Assets</t>
  </si>
  <si>
    <t>Gross Long Term Assets:</t>
  </si>
  <si>
    <t>Accumulated Depreciation:</t>
  </si>
  <si>
    <t>Net Long Term Assets</t>
  </si>
  <si>
    <t>Depreciation and Amortization expenses</t>
  </si>
  <si>
    <t>As a % of Opening GLTA</t>
  </si>
  <si>
    <t>Total CAPEX</t>
  </si>
  <si>
    <t>Maintainance CAPEX</t>
  </si>
  <si>
    <t>Growth CAPEX</t>
  </si>
  <si>
    <t>Other intangible assets (Goodwill)</t>
  </si>
  <si>
    <t xml:space="preserve">Debt Schedule </t>
  </si>
  <si>
    <t xml:space="preserve">Long Term Borrowings </t>
  </si>
  <si>
    <t>Short Term Borrowings</t>
  </si>
  <si>
    <t>Total Borrowings</t>
  </si>
  <si>
    <t>Long Term Lease</t>
  </si>
  <si>
    <t>Short Term Lease</t>
  </si>
  <si>
    <t>Total Lease</t>
  </si>
  <si>
    <t>Interest expense on loan on bank overdraft, security deposit and others</t>
  </si>
  <si>
    <t>Net interet on the net defined liability</t>
  </si>
  <si>
    <t>Unwinding of discount on provisions and liabilities</t>
  </si>
  <si>
    <t>Unwinding of discount on employee and ex-employee related liabilities</t>
  </si>
  <si>
    <t>Interest on Lease Liabilities</t>
  </si>
  <si>
    <t>Interest on taxes and others</t>
  </si>
  <si>
    <t>Total Interest</t>
  </si>
  <si>
    <t>Cost of Borrowing (%)</t>
  </si>
  <si>
    <t>Cost of Lease (%)</t>
  </si>
  <si>
    <t>Weighted Average Cost of Borrowing</t>
  </si>
  <si>
    <t>Net Borrowing Raised</t>
  </si>
  <si>
    <t>Net Lease added</t>
  </si>
  <si>
    <t>Assumptions:</t>
  </si>
  <si>
    <t xml:space="preserve">Long and Short Term borrowings are assumed to be 0 </t>
  </si>
  <si>
    <t>50 Cr lease is added very year from 2026 onwards</t>
  </si>
  <si>
    <t>Other Balance Sheet Items</t>
  </si>
  <si>
    <t>Capital Work in progress</t>
  </si>
  <si>
    <t>Investments accounted for using the equity method</t>
  </si>
  <si>
    <t>Deferred tax assets (net)</t>
  </si>
  <si>
    <t>Non-current tax liabilities (Net)</t>
  </si>
  <si>
    <t>Free Cashflow to Firm Calculator</t>
  </si>
  <si>
    <t>EBIT</t>
  </si>
  <si>
    <t>EBIT(1-T) (or NOPAT)</t>
  </si>
  <si>
    <t>Add Depreciation</t>
  </si>
  <si>
    <t>Less Change in Net Working Capital FCFF</t>
  </si>
  <si>
    <t>FCFF Growth</t>
  </si>
  <si>
    <t>FCFF</t>
  </si>
  <si>
    <t>Valuation Parameters</t>
  </si>
  <si>
    <t>Valuation as on Specified Data</t>
  </si>
  <si>
    <t>Date of Year Ending</t>
  </si>
  <si>
    <t>Tax Rate (Effective Future Rate)</t>
  </si>
  <si>
    <t>WACC</t>
  </si>
  <si>
    <t>Terminal Growth Rate</t>
  </si>
  <si>
    <t>Less Capital Expenditure</t>
  </si>
  <si>
    <t>Less Change in Net Working Capital</t>
  </si>
  <si>
    <t>Add Net Borrowings</t>
  </si>
  <si>
    <t>FCFE</t>
  </si>
  <si>
    <t>EBIT- Interest -Tax</t>
  </si>
  <si>
    <t>Date</t>
  </si>
  <si>
    <t>HINDUNILVR.NS</t>
  </si>
  <si>
    <t>^NSEI</t>
  </si>
  <si>
    <t>Returns Nifty</t>
  </si>
  <si>
    <t>Returns HUL</t>
  </si>
  <si>
    <t xml:space="preserve">Slope / Beta </t>
  </si>
  <si>
    <t>Weight of Debt</t>
  </si>
  <si>
    <t>Weight of Equity</t>
  </si>
  <si>
    <t>Cost of Debt</t>
  </si>
  <si>
    <t>Cost of Equity</t>
  </si>
  <si>
    <t>Total Capital</t>
  </si>
  <si>
    <t xml:space="preserve">Payout Ratio </t>
  </si>
  <si>
    <t>Ke = Rf + Beta * ERP</t>
  </si>
  <si>
    <t>RF</t>
  </si>
  <si>
    <t>BETA</t>
  </si>
  <si>
    <t>ERF</t>
  </si>
  <si>
    <t>Years</t>
  </si>
  <si>
    <t>Time to Cashflow in Years</t>
  </si>
  <si>
    <t>Discounted FCFF</t>
  </si>
  <si>
    <t>Discounted FCFE</t>
  </si>
  <si>
    <t>GDP</t>
  </si>
  <si>
    <t>FMCG Industry</t>
  </si>
  <si>
    <t>Population Growth</t>
  </si>
  <si>
    <t>CPI Inflation</t>
  </si>
  <si>
    <t>Weights</t>
  </si>
  <si>
    <t>Growth Rate</t>
  </si>
  <si>
    <t>Terminal Value of FCFF</t>
  </si>
  <si>
    <t>NPV of Explicit Cash Flows</t>
  </si>
  <si>
    <t>NPV of Terminal Value</t>
  </si>
  <si>
    <t>Enterprise Value</t>
  </si>
  <si>
    <t>Less Debt</t>
  </si>
  <si>
    <t>Add Cash</t>
  </si>
  <si>
    <t>No. of Shares Outstanding (in crores)</t>
  </si>
  <si>
    <t>Equity Value</t>
  </si>
  <si>
    <t>CMP</t>
  </si>
  <si>
    <t>Value per Share (today)</t>
  </si>
  <si>
    <t>Upside/Downside</t>
  </si>
  <si>
    <t>Sensitivity Analysis</t>
  </si>
  <si>
    <t>Growth</t>
  </si>
  <si>
    <t>Current Market Price (as on 27-02-26)</t>
  </si>
  <si>
    <t>Minority Interest</t>
  </si>
  <si>
    <t>Operating Activities</t>
  </si>
  <si>
    <t>Net Income</t>
  </si>
  <si>
    <t>Change in Working Capital</t>
  </si>
  <si>
    <t>Change in Other Long-Term Assets &amp; Liabilities</t>
  </si>
  <si>
    <t>Other</t>
  </si>
  <si>
    <t>Investing Activities</t>
  </si>
  <si>
    <t>Capital Expenditures</t>
  </si>
  <si>
    <t>Asset Sales</t>
  </si>
  <si>
    <t>Additions to Goodwill / Intangibles</t>
  </si>
  <si>
    <t>Financing Activities</t>
  </si>
  <si>
    <t>Proceeds from / (Repayment of) Revolver</t>
  </si>
  <si>
    <t>Proceeds from / (Repayment of) Long Term Debt</t>
  </si>
  <si>
    <t>Issuance / (Repurchase of) Equity</t>
  </si>
  <si>
    <t>Dividends</t>
  </si>
  <si>
    <t>Effects of Exchange Rates on Cash</t>
  </si>
  <si>
    <t>Net Change in Cash</t>
  </si>
  <si>
    <t>Beginning Cash Balance</t>
  </si>
  <si>
    <t>Ending Cash Balance</t>
  </si>
  <si>
    <t xml:space="preserve">Depreciation &amp; Amortization </t>
  </si>
  <si>
    <t xml:space="preserve">Other Long Term Items </t>
  </si>
  <si>
    <t>Other Long Term Items Assets</t>
  </si>
  <si>
    <t>Total Other Assets</t>
  </si>
  <si>
    <t>(Increase)/Decrease in Other Assets</t>
  </si>
  <si>
    <t>Other Long Term Liabilities</t>
  </si>
  <si>
    <t>Total Other Liabilities</t>
  </si>
  <si>
    <t>(Increase)/Decrease in Other Liabilities</t>
  </si>
  <si>
    <t>Deferred Income Taxes (Asset)</t>
  </si>
  <si>
    <t>Deferred Income Taxes (Liability)</t>
  </si>
  <si>
    <t>Change in Other Long-Term Assets and Liabilities</t>
  </si>
  <si>
    <t>Cash Flow from Operating  Activities</t>
  </si>
  <si>
    <t>Cash Flow from Investing  Activities</t>
  </si>
  <si>
    <t xml:space="preserve">Beginning Accumulated Depreciation </t>
  </si>
  <si>
    <t>Ending Accumulated Depreciation</t>
  </si>
  <si>
    <t>Total Depreciation Expense</t>
  </si>
  <si>
    <t>Ending Gross 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</si>
</sst>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 &quot;₹&quot;\ * #,##0.00_ ;_ &quot;₹&quot;\ * \-#,##0.00_ ;_ &quot;₹&quot;\ * &quot;-&quot;??_ ;_ @_ "/>
    <numFmt numFmtId="164" formatCode="0&quot;A&quot;"/>
    <numFmt numFmtId="165" formatCode="0&quot;E&quot;"/>
    <numFmt numFmtId="166" formatCode="_ [$₹-4009]\ * #,##0.00_ ;_ [$₹-4009]\ * \-#,##0.00_ ;_ [$₹-4009]\ * &quot;-&quot;??_ ;_ @_ "/>
    <numFmt numFmtId="167" formatCode="_ [$₹-4009]\ * #,##0.0_ ;_ [$₹-4009]\ * \-#,##0.0_ ;_ [$₹-4009]\ * &quot;-&quot;??_ ;_ @_ "/>
    <numFmt numFmtId="168" formatCode="0.0%"/>
    <numFmt numFmtId="169" formatCode="0.000%"/>
    <numFmt numFmtId="170" formatCode="_ [$₹-4009]\ * #,##0.0_ ;_ [$₹-4009]\ * \-#,##0.0_ ;_ [$₹-4009]\ * &quot;-&quot;?_ ;_ @_ "/>
    <numFmt numFmtId="171" formatCode="_ [$₹-4009]\ * #,##0_ ;_ [$₹-4009]\ * \-#,##0_ ;_ [$₹-4009]\ * &quot;-&quot;??_ ;_ @_ "/>
    <numFmt numFmtId="172" formatCode="_ &quot;₹&quot;\ * #,##0_ ;_ &quot;₹&quot;\ * \-#,##0_ ;_ &quot;₹&quot;\ * &quot;-&quot;??_ ;_ @_ "/>
    <numFmt numFmtId="173" formatCode="\20\2\6&quot;E&quot;"/>
    <numFmt numFmtId="174" formatCode="\20\2\7&quot;E&quot;"/>
    <numFmt numFmtId="175" formatCode="\20\2\8&quot;E&quot;"/>
    <numFmt numFmtId="176" formatCode="\20\2\9&quot;E&quot;"/>
    <numFmt numFmtId="177" formatCode="\20\30&quot;E&quot;"/>
    <numFmt numFmtId="180" formatCode="[$-F800]dddd\,\ 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166" fontId="0" fillId="0" borderId="0" xfId="0" applyNumberFormat="1"/>
    <xf numFmtId="167" fontId="0" fillId="0" borderId="0" xfId="0" applyNumberFormat="1"/>
    <xf numFmtId="9" fontId="0" fillId="0" borderId="0" xfId="2" applyFont="1"/>
    <xf numFmtId="10" fontId="0" fillId="0" borderId="0" xfId="0" applyNumberFormat="1"/>
    <xf numFmtId="168" fontId="0" fillId="0" borderId="0" xfId="2" applyNumberFormat="1" applyFont="1"/>
    <xf numFmtId="10" fontId="0" fillId="0" borderId="0" xfId="2" applyNumberFormat="1" applyFont="1"/>
    <xf numFmtId="44" fontId="0" fillId="0" borderId="0" xfId="1" applyFont="1"/>
    <xf numFmtId="44" fontId="0" fillId="0" borderId="0" xfId="1" applyNumberFormat="1" applyFont="1"/>
    <xf numFmtId="168" fontId="0" fillId="0" borderId="0" xfId="0" applyNumberFormat="1"/>
    <xf numFmtId="9" fontId="0" fillId="0" borderId="0" xfId="0" applyNumberFormat="1"/>
    <xf numFmtId="44" fontId="0" fillId="0" borderId="0" xfId="0" applyNumberFormat="1"/>
    <xf numFmtId="0" fontId="4" fillId="0" borderId="0" xfId="0" applyFont="1"/>
    <xf numFmtId="0" fontId="3" fillId="3" borderId="0" xfId="0" applyFont="1" applyFill="1"/>
    <xf numFmtId="3" fontId="0" fillId="0" borderId="0" xfId="0" applyNumberFormat="1"/>
    <xf numFmtId="169" fontId="0" fillId="0" borderId="0" xfId="0" applyNumberFormat="1"/>
    <xf numFmtId="0" fontId="5" fillId="3" borderId="0" xfId="0" applyFont="1" applyFill="1"/>
    <xf numFmtId="0" fontId="0" fillId="4" borderId="0" xfId="0" applyFill="1"/>
    <xf numFmtId="170" fontId="0" fillId="0" borderId="0" xfId="0" applyNumberFormat="1"/>
    <xf numFmtId="0" fontId="2" fillId="5" borderId="0" xfId="0" applyFont="1" applyFill="1"/>
    <xf numFmtId="0" fontId="3" fillId="6" borderId="0" xfId="0" applyFont="1" applyFill="1"/>
    <xf numFmtId="164" fontId="2" fillId="5" borderId="0" xfId="0" applyNumberFormat="1" applyFont="1" applyFill="1"/>
    <xf numFmtId="165" fontId="2" fillId="5" borderId="0" xfId="0" applyNumberFormat="1" applyFont="1" applyFill="1"/>
    <xf numFmtId="0" fontId="0" fillId="6" borderId="0" xfId="0" applyFill="1"/>
    <xf numFmtId="166" fontId="0" fillId="0" borderId="0" xfId="2" applyNumberFormat="1" applyFont="1"/>
    <xf numFmtId="166" fontId="2" fillId="2" borderId="0" xfId="0" applyNumberFormat="1" applyFont="1" applyFill="1"/>
    <xf numFmtId="0" fontId="4" fillId="6" borderId="0" xfId="0" applyFont="1" applyFill="1"/>
    <xf numFmtId="0" fontId="2" fillId="7" borderId="0" xfId="0" applyFont="1" applyFill="1"/>
    <xf numFmtId="0" fontId="0" fillId="8" borderId="0" xfId="0" applyFont="1" applyFill="1"/>
    <xf numFmtId="0" fontId="0" fillId="8" borderId="0" xfId="0" applyFill="1"/>
    <xf numFmtId="171" fontId="0" fillId="0" borderId="0" xfId="0" applyNumberFormat="1"/>
    <xf numFmtId="171" fontId="0" fillId="0" borderId="0" xfId="1" applyNumberFormat="1" applyFont="1"/>
    <xf numFmtId="172" fontId="0" fillId="0" borderId="0" xfId="1" applyNumberFormat="1" applyFont="1"/>
    <xf numFmtId="0" fontId="7" fillId="9" borderId="0" xfId="0" applyFont="1" applyFill="1"/>
    <xf numFmtId="0" fontId="6" fillId="9" borderId="0" xfId="0" applyFont="1" applyFill="1"/>
    <xf numFmtId="173" fontId="6" fillId="2" borderId="0" xfId="0" applyNumberFormat="1" applyFont="1" applyFill="1"/>
    <xf numFmtId="174" fontId="6" fillId="2" borderId="0" xfId="0" applyNumberFormat="1" applyFont="1" applyFill="1"/>
    <xf numFmtId="175" fontId="6" fillId="2" borderId="0" xfId="0" applyNumberFormat="1" applyFont="1" applyFill="1"/>
    <xf numFmtId="176" fontId="6" fillId="2" borderId="0" xfId="0" applyNumberFormat="1" applyFont="1" applyFill="1"/>
    <xf numFmtId="177" fontId="6" fillId="2" borderId="0" xfId="0" applyNumberFormat="1" applyFont="1" applyFill="1"/>
    <xf numFmtId="0" fontId="0" fillId="10" borderId="0" xfId="0" applyFill="1"/>
    <xf numFmtId="165" fontId="2" fillId="11" borderId="2" xfId="0" applyNumberFormat="1" applyFont="1" applyFill="1" applyBorder="1"/>
    <xf numFmtId="0" fontId="0" fillId="12" borderId="0" xfId="0" applyFill="1"/>
    <xf numFmtId="0" fontId="8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180" fontId="8" fillId="0" borderId="2" xfId="0" applyNumberFormat="1" applyFont="1" applyBorder="1" applyAlignment="1">
      <alignment horizontal="center" vertical="top"/>
    </xf>
    <xf numFmtId="9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2" applyNumberFormat="1" applyFont="1"/>
    <xf numFmtId="168" fontId="3" fillId="0" borderId="0" xfId="2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/>
    <xf numFmtId="2" fontId="0" fillId="0" borderId="0" xfId="0" applyNumberFormat="1"/>
    <xf numFmtId="10" fontId="3" fillId="0" borderId="0" xfId="0" applyNumberFormat="1" applyFont="1" applyAlignment="1">
      <alignment horizontal="center"/>
    </xf>
    <xf numFmtId="174" fontId="6" fillId="11" borderId="2" xfId="0" applyNumberFormat="1" applyFont="1" applyFill="1" applyBorder="1"/>
    <xf numFmtId="175" fontId="6" fillId="11" borderId="2" xfId="0" applyNumberFormat="1" applyFont="1" applyFill="1" applyBorder="1"/>
    <xf numFmtId="176" fontId="6" fillId="11" borderId="2" xfId="0" applyNumberFormat="1" applyFont="1" applyFill="1" applyBorder="1"/>
    <xf numFmtId="177" fontId="6" fillId="11" borderId="2" xfId="0" applyNumberFormat="1" applyFont="1" applyFill="1" applyBorder="1"/>
    <xf numFmtId="0" fontId="6" fillId="5" borderId="0" xfId="0" applyFont="1" applyFill="1"/>
    <xf numFmtId="14" fontId="0" fillId="0" borderId="0" xfId="0" applyNumberFormat="1"/>
    <xf numFmtId="9" fontId="3" fillId="0" borderId="0" xfId="0" applyNumberFormat="1" applyFont="1"/>
    <xf numFmtId="10" fontId="3" fillId="0" borderId="0" xfId="2" applyNumberFormat="1" applyFont="1"/>
    <xf numFmtId="0" fontId="3" fillId="10" borderId="0" xfId="0" applyFont="1" applyFill="1"/>
    <xf numFmtId="44" fontId="3" fillId="0" borderId="0" xfId="1" applyFont="1"/>
    <xf numFmtId="168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4" fontId="0" fillId="0" borderId="0" xfId="1" applyFont="1" applyAlignment="1"/>
    <xf numFmtId="2" fontId="0" fillId="0" borderId="0" xfId="0" applyNumberFormat="1" applyAlignment="1">
      <alignment horizontal="center"/>
    </xf>
    <xf numFmtId="166" fontId="0" fillId="11" borderId="0" xfId="0" applyNumberFormat="1" applyFill="1"/>
    <xf numFmtId="37" fontId="9" fillId="0" borderId="0" xfId="0" applyNumberFormat="1" applyFont="1"/>
    <xf numFmtId="0" fontId="9" fillId="0" borderId="0" xfId="0" applyFont="1"/>
    <xf numFmtId="0" fontId="9" fillId="0" borderId="1" xfId="0" applyFont="1" applyBorder="1"/>
    <xf numFmtId="37" fontId="12" fillId="0" borderId="0" xfId="0" applyNumberFormat="1" applyFont="1"/>
    <xf numFmtId="37" fontId="11" fillId="0" borderId="0" xfId="0" applyNumberFormat="1" applyFont="1"/>
    <xf numFmtId="0" fontId="9" fillId="0" borderId="0" xfId="0" applyFont="1" applyAlignment="1">
      <alignment horizontal="center"/>
    </xf>
    <xf numFmtId="0" fontId="3" fillId="13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1" xfId="0" applyFont="1" applyBorder="1"/>
    <xf numFmtId="37" fontId="13" fillId="0" borderId="0" xfId="0" applyNumberFormat="1" applyFont="1" applyAlignment="1">
      <alignment horizontal="center"/>
    </xf>
    <xf numFmtId="37" fontId="12" fillId="0" borderId="0" xfId="0" applyNumberFormat="1" applyFont="1" applyAlignment="1">
      <alignment horizontal="left"/>
    </xf>
    <xf numFmtId="0" fontId="0" fillId="11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FF"/>
      <color rgb="FF99CCFF"/>
      <color rgb="FF3399FF"/>
      <color rgb="FF2727BD"/>
      <color rgb="FF4D58E3"/>
      <color rgb="FF655DC7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WACC!$G$2</c:f>
              <c:strCache>
                <c:ptCount val="1"/>
                <c:pt idx="0">
                  <c:v>Returns HUL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2938913457735682E-2"/>
                  <c:y val="-5.95638272488666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WACC!$F$3:$F$61</c:f>
              <c:numCache>
                <c:formatCode>0%</c:formatCode>
                <c:ptCount val="59"/>
                <c:pt idx="0">
                  <c:v>-4.0652803318297313E-3</c:v>
                </c:pt>
                <c:pt idx="1">
                  <c:v>6.3018355870911674E-2</c:v>
                </c:pt>
                <c:pt idx="2">
                  <c:v>8.8614729480753097E-3</c:v>
                </c:pt>
                <c:pt idx="3">
                  <c:v>2.6393789376708702E-3</c:v>
                </c:pt>
                <c:pt idx="4">
                  <c:v>8.3291106910079266E-2</c:v>
                </c:pt>
                <c:pt idx="5">
                  <c:v>2.796995469889493E-2</c:v>
                </c:pt>
                <c:pt idx="6">
                  <c:v>3.032039841667852E-3</c:v>
                </c:pt>
                <c:pt idx="7">
                  <c:v>-3.973710855020627E-2</c:v>
                </c:pt>
                <c:pt idx="8">
                  <c:v>2.1601379431276043E-2</c:v>
                </c:pt>
                <c:pt idx="9">
                  <c:v>-8.1865529722730587E-4</c:v>
                </c:pt>
                <c:pt idx="10">
                  <c:v>-3.1991549772345758E-2</c:v>
                </c:pt>
                <c:pt idx="11">
                  <c:v>3.91688153173579E-2</c:v>
                </c:pt>
                <c:pt idx="12">
                  <c:v>-2.0956942935119825E-2</c:v>
                </c:pt>
                <c:pt idx="13">
                  <c:v>-3.0756034691708727E-2</c:v>
                </c:pt>
                <c:pt idx="14">
                  <c:v>-4.9712428055275447E-2</c:v>
                </c:pt>
                <c:pt idx="15">
                  <c:v>8.3719949376114669E-2</c:v>
                </c:pt>
                <c:pt idx="16">
                  <c:v>3.4430258856492653E-2</c:v>
                </c:pt>
                <c:pt idx="17">
                  <c:v>-3.8161389660302754E-2</c:v>
                </c:pt>
                <c:pt idx="18">
                  <c:v>5.2301286009363894E-2</c:v>
                </c:pt>
                <c:pt idx="19">
                  <c:v>4.0589703081297404E-2</c:v>
                </c:pt>
                <c:pt idx="20">
                  <c:v>-3.5434209555278512E-2</c:v>
                </c:pt>
                <c:pt idx="21">
                  <c:v>-2.4780802302484462E-2</c:v>
                </c:pt>
                <c:pt idx="22">
                  <c:v>-2.0489199943856996E-2</c:v>
                </c:pt>
                <c:pt idx="23">
                  <c:v>3.2195542142365919E-3</c:v>
                </c:pt>
                <c:pt idx="24">
                  <c:v>3.9822056392752755E-2</c:v>
                </c:pt>
                <c:pt idx="25">
                  <c:v>2.5652121365167826E-2</c:v>
                </c:pt>
                <c:pt idx="26">
                  <c:v>3.4711358592254368E-2</c:v>
                </c:pt>
                <c:pt idx="27">
                  <c:v>2.9006072895267944E-2</c:v>
                </c:pt>
                <c:pt idx="28">
                  <c:v>-2.5637433026021773E-2</c:v>
                </c:pt>
                <c:pt idx="29">
                  <c:v>1.9773296490833859E-2</c:v>
                </c:pt>
                <c:pt idx="30">
                  <c:v>-2.8862099950745117E-2</c:v>
                </c:pt>
                <c:pt idx="31">
                  <c:v>5.3748048706655276E-2</c:v>
                </c:pt>
                <c:pt idx="32">
                  <c:v>7.639050755449546E-2</c:v>
                </c:pt>
                <c:pt idx="33">
                  <c:v>-2.6238161124211682E-4</c:v>
                </c:pt>
                <c:pt idx="34">
                  <c:v>1.1764509320155716E-2</c:v>
                </c:pt>
                <c:pt idx="35">
                  <c:v>1.5531882083485167E-2</c:v>
                </c:pt>
                <c:pt idx="36">
                  <c:v>1.2372220723991998E-2</c:v>
                </c:pt>
                <c:pt idx="37">
                  <c:v>-3.2856787724478624E-3</c:v>
                </c:pt>
                <c:pt idx="38">
                  <c:v>6.3616594268288459E-2</c:v>
                </c:pt>
                <c:pt idx="39">
                  <c:v>3.8424545735532598E-2</c:v>
                </c:pt>
                <c:pt idx="40">
                  <c:v>1.1347670411256436E-2</c:v>
                </c:pt>
                <c:pt idx="41">
                  <c:v>2.2527331639289501E-2</c:v>
                </c:pt>
                <c:pt idx="42">
                  <c:v>-6.4221264054316163E-2</c:v>
                </c:pt>
                <c:pt idx="43">
                  <c:v>-3.0722181542478374E-3</c:v>
                </c:pt>
                <c:pt idx="44">
                  <c:v>-2.0358198163974685E-2</c:v>
                </c:pt>
                <c:pt idx="45">
                  <c:v>-5.7854299471487422E-3</c:v>
                </c:pt>
                <c:pt idx="46">
                  <c:v>-6.0663224537316665E-2</c:v>
                </c:pt>
                <c:pt idx="47">
                  <c:v>6.1128873816639742E-2</c:v>
                </c:pt>
                <c:pt idx="48">
                  <c:v>3.4059266193909206E-2</c:v>
                </c:pt>
                <c:pt idx="49">
                  <c:v>1.6971003698900373E-2</c:v>
                </c:pt>
                <c:pt idx="50">
                  <c:v>3.0493146922133261E-2</c:v>
                </c:pt>
                <c:pt idx="51">
                  <c:v>-2.9780274127110991E-2</c:v>
                </c:pt>
                <c:pt idx="52">
                  <c:v>-1.3883691536798011E-2</c:v>
                </c:pt>
                <c:pt idx="53">
                  <c:v>7.5146236732063819E-3</c:v>
                </c:pt>
                <c:pt idx="54">
                  <c:v>4.4152984562855616E-2</c:v>
                </c:pt>
                <c:pt idx="55">
                  <c:v>1.8521440660611767E-2</c:v>
                </c:pt>
                <c:pt idx="56">
                  <c:v>-2.8032136423434902E-3</c:v>
                </c:pt>
                <c:pt idx="57">
                  <c:v>-3.1448472611215583E-2</c:v>
                </c:pt>
                <c:pt idx="58">
                  <c:v>-5.6238550658976993E-3</c:v>
                </c:pt>
              </c:numCache>
            </c:numRef>
          </c:xVal>
          <c:yVal>
            <c:numRef>
              <c:f>WACC!$G$3:$G$61</c:f>
              <c:numCache>
                <c:formatCode>0%</c:formatCode>
                <c:ptCount val="59"/>
                <c:pt idx="0">
                  <c:v>-3.249852605233447E-2</c:v>
                </c:pt>
                <c:pt idx="1">
                  <c:v>-5.8375222909190913E-3</c:v>
                </c:pt>
                <c:pt idx="2">
                  <c:v>5.4572046242649545E-2</c:v>
                </c:pt>
                <c:pt idx="3">
                  <c:v>-5.0251259377843374E-2</c:v>
                </c:pt>
                <c:pt idx="4">
                  <c:v>0.15485474120821344</c:v>
                </c:pt>
                <c:pt idx="5">
                  <c:v>-8.219951032349888E-3</c:v>
                </c:pt>
                <c:pt idx="6">
                  <c:v>-0.12130791693745988</c:v>
                </c:pt>
                <c:pt idx="7">
                  <c:v>-2.5973231473079693E-2</c:v>
                </c:pt>
                <c:pt idx="8">
                  <c:v>1.8214600076773866E-2</c:v>
                </c:pt>
                <c:pt idx="9">
                  <c:v>-3.7294791330467793E-2</c:v>
                </c:pt>
                <c:pt idx="10">
                  <c:v>-4.5735789395120734E-2</c:v>
                </c:pt>
                <c:pt idx="11">
                  <c:v>-5.8513531873609206E-2</c:v>
                </c:pt>
                <c:pt idx="12">
                  <c:v>8.6993090979552073E-2</c:v>
                </c:pt>
                <c:pt idx="13">
                  <c:v>5.162310622088382E-2</c:v>
                </c:pt>
                <c:pt idx="14">
                  <c:v>-5.3526444418035404E-2</c:v>
                </c:pt>
                <c:pt idx="15">
                  <c:v>0.17631296078892988</c:v>
                </c:pt>
                <c:pt idx="16">
                  <c:v>8.4763996577374989E-3</c:v>
                </c:pt>
                <c:pt idx="17">
                  <c:v>1.3666193753038831E-2</c:v>
                </c:pt>
                <c:pt idx="18">
                  <c:v>-5.5568282803847097E-2</c:v>
                </c:pt>
                <c:pt idx="19">
                  <c:v>5.1070881377863898E-2</c:v>
                </c:pt>
                <c:pt idx="20">
                  <c:v>-4.0334223399462923E-2</c:v>
                </c:pt>
                <c:pt idx="21">
                  <c:v>6.1115853827262371E-3</c:v>
                </c:pt>
                <c:pt idx="22">
                  <c:v>-4.6103458823635049E-2</c:v>
                </c:pt>
                <c:pt idx="23">
                  <c:v>3.9718588282162869E-2</c:v>
                </c:pt>
                <c:pt idx="24">
                  <c:v>-4.1080910354223295E-2</c:v>
                </c:pt>
                <c:pt idx="25">
                  <c:v>8.2097336849520128E-2</c:v>
                </c:pt>
                <c:pt idx="26">
                  <c:v>3.9657867965056165E-3</c:v>
                </c:pt>
                <c:pt idx="27">
                  <c:v>-3.6672289402900946E-2</c:v>
                </c:pt>
                <c:pt idx="28">
                  <c:v>-2.2011049961233591E-2</c:v>
                </c:pt>
                <c:pt idx="29">
                  <c:v>-1.5873461096598724E-2</c:v>
                </c:pt>
                <c:pt idx="30">
                  <c:v>7.4348754866867869E-3</c:v>
                </c:pt>
                <c:pt idx="31">
                  <c:v>2.4476591480551427E-2</c:v>
                </c:pt>
                <c:pt idx="32">
                  <c:v>5.2770644208284902E-2</c:v>
                </c:pt>
                <c:pt idx="33">
                  <c:v>-7.0926522047049287E-2</c:v>
                </c:pt>
                <c:pt idx="34">
                  <c:v>-2.8302799658108321E-2</c:v>
                </c:pt>
                <c:pt idx="35">
                  <c:v>-6.3292754144758073E-2</c:v>
                </c:pt>
                <c:pt idx="36">
                  <c:v>-1.50844764185569E-2</c:v>
                </c:pt>
                <c:pt idx="37">
                  <c:v>4.3257169907849467E-2</c:v>
                </c:pt>
                <c:pt idx="38">
                  <c:v>5.9991673470936369E-2</c:v>
                </c:pt>
                <c:pt idx="39">
                  <c:v>9.958542240768907E-2</c:v>
                </c:pt>
                <c:pt idx="40">
                  <c:v>2.6389106502119428E-2</c:v>
                </c:pt>
                <c:pt idx="41">
                  <c:v>6.2883536859143538E-2</c:v>
                </c:pt>
                <c:pt idx="42">
                  <c:v>-0.1570874597235902</c:v>
                </c:pt>
                <c:pt idx="43">
                  <c:v>-1.277785901423723E-2</c:v>
                </c:pt>
                <c:pt idx="44">
                  <c:v>-5.8665643297690043E-2</c:v>
                </c:pt>
                <c:pt idx="45">
                  <c:v>5.9216811844846402E-2</c:v>
                </c:pt>
                <c:pt idx="46">
                  <c:v>-0.11971650865302134</c:v>
                </c:pt>
                <c:pt idx="47">
                  <c:v>3.0840066981528677E-2</c:v>
                </c:pt>
                <c:pt idx="48">
                  <c:v>3.6192189631371621E-2</c:v>
                </c:pt>
                <c:pt idx="49">
                  <c:v>2.64370921070724E-3</c:v>
                </c:pt>
                <c:pt idx="50">
                  <c:v>-2.3133183591159692E-2</c:v>
                </c:pt>
                <c:pt idx="51">
                  <c:v>0.10463770757207977</c:v>
                </c:pt>
                <c:pt idx="52">
                  <c:v>5.3515984096264749E-2</c:v>
                </c:pt>
                <c:pt idx="53">
                  <c:v>-5.6216799646976845E-2</c:v>
                </c:pt>
                <c:pt idx="54">
                  <c:v>-1.963956430363302E-2</c:v>
                </c:pt>
                <c:pt idx="55">
                  <c:v>4.4611158029215088E-4</c:v>
                </c:pt>
                <c:pt idx="56">
                  <c:v>-5.5212096519281266E-2</c:v>
                </c:pt>
                <c:pt idx="57">
                  <c:v>2.4356638735721328E-2</c:v>
                </c:pt>
                <c:pt idx="58">
                  <c:v>-1.4816301951417839E-2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A-4DC7-B088-6D4ECF509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23984"/>
        <c:axId val="444551872"/>
      </c:scatterChart>
      <c:valAx>
        <c:axId val="14172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51872"/>
        <c:crosses val="autoZero"/>
        <c:crossBetween val="midCat"/>
      </c:valAx>
      <c:valAx>
        <c:axId val="4445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0</xdr:row>
      <xdr:rowOff>179070</xdr:rowOff>
    </xdr:from>
    <xdr:to>
      <xdr:col>17</xdr:col>
      <xdr:colOff>53340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F0A55-506A-FA11-919A-DE1C52662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1574-2543-4C1E-B2A1-9E5D87BE926C}">
  <dimension ref="A1:K25"/>
  <sheetViews>
    <sheetView zoomScale="88" zoomScaleNormal="70" workbookViewId="0">
      <selection activeCell="C22" sqref="C22"/>
    </sheetView>
  </sheetViews>
  <sheetFormatPr defaultRowHeight="14.4" x14ac:dyDescent="0.3"/>
  <cols>
    <col min="1" max="1" width="73.88671875" customWidth="1"/>
    <col min="2" max="2" width="19.5546875" customWidth="1"/>
    <col min="3" max="3" width="20.21875" customWidth="1"/>
    <col min="4" max="4" width="15.77734375" customWidth="1"/>
    <col min="5" max="5" width="18.44140625" customWidth="1"/>
    <col min="6" max="6" width="17" customWidth="1"/>
    <col min="7" max="7" width="16.5546875" customWidth="1"/>
    <col min="8" max="8" width="18" customWidth="1"/>
  </cols>
  <sheetData>
    <row r="1" spans="1:11" x14ac:dyDescent="0.3">
      <c r="A1" s="22" t="s">
        <v>0</v>
      </c>
      <c r="B1" s="2">
        <v>2024</v>
      </c>
      <c r="C1" s="2">
        <f>B1+1</f>
        <v>2025</v>
      </c>
      <c r="D1" s="3">
        <f>C1+1</f>
        <v>2026</v>
      </c>
      <c r="E1" s="3">
        <f>D1+1</f>
        <v>2027</v>
      </c>
      <c r="F1" s="3">
        <f t="shared" ref="F1:H1" si="0">E1+1</f>
        <v>2028</v>
      </c>
      <c r="G1" s="3">
        <f t="shared" si="0"/>
        <v>2029</v>
      </c>
      <c r="H1" s="3">
        <f t="shared" si="0"/>
        <v>2030</v>
      </c>
      <c r="I1" s="3"/>
      <c r="J1" s="1"/>
      <c r="K1" s="1"/>
    </row>
    <row r="2" spans="1:11" x14ac:dyDescent="0.3">
      <c r="A2" t="s">
        <v>1</v>
      </c>
      <c r="B2" s="5">
        <v>61896</v>
      </c>
      <c r="C2" s="5">
        <v>63121</v>
      </c>
      <c r="D2" s="14">
        <f>Assumption!D2</f>
        <v>65571.748000000007</v>
      </c>
      <c r="E2" s="14">
        <f>Assumption!E2</f>
        <v>70443.375493999993</v>
      </c>
      <c r="F2" s="14">
        <f>Assumption!F2</f>
        <v>76199.837375712013</v>
      </c>
      <c r="G2" s="14">
        <f>Assumption!G2</f>
        <v>82987.517697314746</v>
      </c>
      <c r="H2" s="14">
        <f>Assumption!H2</f>
        <v>90986.273908988398</v>
      </c>
    </row>
    <row r="3" spans="1:11" x14ac:dyDescent="0.3">
      <c r="A3" t="s">
        <v>9</v>
      </c>
      <c r="B3" s="5">
        <v>811</v>
      </c>
      <c r="C3" s="5">
        <v>1017</v>
      </c>
      <c r="D3" s="14">
        <f>Assumption!D3</f>
        <v>1118.7</v>
      </c>
      <c r="E3" s="14">
        <f>Assumption!E3</f>
        <v>1241.7570000000001</v>
      </c>
      <c r="F3" s="14">
        <f>Assumption!F3</f>
        <v>1390.7678400000002</v>
      </c>
      <c r="G3" s="14">
        <f>Assumption!G3</f>
        <v>1571.5676592</v>
      </c>
      <c r="H3" s="14">
        <f>Assumption!H3</f>
        <v>1791.5871314880001</v>
      </c>
    </row>
    <row r="4" spans="1:11" x14ac:dyDescent="0.3">
      <c r="A4" s="1" t="s">
        <v>10</v>
      </c>
      <c r="B4" s="5">
        <f>SUM(B2:B3)</f>
        <v>62707</v>
      </c>
      <c r="C4" s="5">
        <f>SUM(C2:C3)</f>
        <v>64138</v>
      </c>
      <c r="D4" s="5">
        <f t="shared" ref="D4:H4" si="1">SUM(D2:D3)</f>
        <v>66690.448000000004</v>
      </c>
      <c r="E4" s="5">
        <f t="shared" si="1"/>
        <v>71685.13249399999</v>
      </c>
      <c r="F4" s="5">
        <f t="shared" si="1"/>
        <v>77590.605215712014</v>
      </c>
      <c r="G4" s="5">
        <f t="shared" si="1"/>
        <v>84559.085356514741</v>
      </c>
      <c r="H4" s="5">
        <f t="shared" si="1"/>
        <v>92777.861040476404</v>
      </c>
    </row>
    <row r="5" spans="1:11" x14ac:dyDescent="0.3">
      <c r="A5" t="s">
        <v>11</v>
      </c>
      <c r="B5" s="5">
        <v>19257</v>
      </c>
      <c r="C5" s="5">
        <v>19458</v>
      </c>
      <c r="D5" s="14">
        <f>Assumption!D30</f>
        <v>20307.036890839569</v>
      </c>
      <c r="E5" s="14">
        <f>Assumption!E30</f>
        <v>21765.486473159544</v>
      </c>
      <c r="F5" s="14">
        <f>Assumption!F30</f>
        <v>23571.289485093941</v>
      </c>
      <c r="G5" s="14">
        <f>Assumption!G30</f>
        <v>25656.157035797463</v>
      </c>
      <c r="H5" s="14">
        <f>Assumption!H30</f>
        <v>28137.1406894223</v>
      </c>
    </row>
    <row r="6" spans="1:11" x14ac:dyDescent="0.3">
      <c r="A6" t="s">
        <v>12</v>
      </c>
      <c r="B6" s="5">
        <v>10514</v>
      </c>
      <c r="C6" s="5">
        <v>11272</v>
      </c>
      <c r="D6" s="14">
        <f>Assumption!D33</f>
        <v>11424.01594705551</v>
      </c>
      <c r="E6" s="14">
        <f>Assumption!E33</f>
        <v>12426.185695555114</v>
      </c>
      <c r="F6" s="14">
        <f>Assumption!F33</f>
        <v>13358.641164289327</v>
      </c>
      <c r="G6" s="14">
        <f>Assumption!G33</f>
        <v>14593.780722224412</v>
      </c>
      <c r="H6" s="14">
        <f>Assumption!H33</f>
        <v>15975.631820265909</v>
      </c>
    </row>
    <row r="7" spans="1:11" x14ac:dyDescent="0.3">
      <c r="A7" t="s">
        <v>13</v>
      </c>
      <c r="B7" s="5">
        <v>-11</v>
      </c>
      <c r="C7" s="5">
        <v>-153</v>
      </c>
      <c r="D7" s="4">
        <f>Assumption!D6</f>
        <v>0</v>
      </c>
      <c r="E7" s="4">
        <f>Assumption!E6</f>
        <v>0</v>
      </c>
      <c r="F7" s="4">
        <f>Assumption!F6</f>
        <v>0</v>
      </c>
      <c r="G7" s="4">
        <f>Assumption!G6</f>
        <v>0</v>
      </c>
      <c r="H7" s="4">
        <f>Assumption!H6</f>
        <v>0</v>
      </c>
    </row>
    <row r="8" spans="1:11" s="4" customFormat="1" x14ac:dyDescent="0.3">
      <c r="A8" s="4" t="s">
        <v>6</v>
      </c>
      <c r="B8" s="4">
        <v>3009</v>
      </c>
      <c r="C8" s="4">
        <v>3077</v>
      </c>
      <c r="D8" s="4">
        <f>Assumption!D7</f>
        <v>3457.3172000000004</v>
      </c>
      <c r="E8" s="4">
        <f>Assumption!E7</f>
        <v>3939.7858152600006</v>
      </c>
      <c r="F8" s="4">
        <f>Assumption!F7</f>
        <v>4552.8164881144576</v>
      </c>
      <c r="G8" s="4">
        <f>Assumption!G7</f>
        <v>5334.7627199481158</v>
      </c>
      <c r="H8" s="4">
        <f>Assumption!H7</f>
        <v>6337.6981112983631</v>
      </c>
    </row>
    <row r="9" spans="1:11" x14ac:dyDescent="0.3">
      <c r="A9" s="20" t="s">
        <v>14</v>
      </c>
      <c r="B9" s="5">
        <v>334</v>
      </c>
      <c r="C9" s="5">
        <v>395</v>
      </c>
      <c r="D9" s="10">
        <f>'Debt Schedule'!D16</f>
        <v>394.57050744674308</v>
      </c>
      <c r="E9" s="10">
        <f>'Debt Schedule'!E16</f>
        <v>398.29975044753104</v>
      </c>
      <c r="F9" s="10">
        <f>'Debt Schedule'!F16</f>
        <v>402.028993448319</v>
      </c>
      <c r="G9" s="10">
        <f>'Debt Schedule'!G16</f>
        <v>405.7582364491069</v>
      </c>
      <c r="H9" s="10">
        <f>'Debt Schedule'!H16</f>
        <v>409.48747944989486</v>
      </c>
    </row>
    <row r="10" spans="1:11" x14ac:dyDescent="0.3">
      <c r="A10" s="20" t="s">
        <v>15</v>
      </c>
      <c r="B10" s="5">
        <v>1216</v>
      </c>
      <c r="C10" s="5">
        <v>1355</v>
      </c>
      <c r="D10" s="10">
        <f>'CAPEX Schedule '!D22</f>
        <v>1413.0517575869555</v>
      </c>
      <c r="E10" s="10">
        <f>'CAPEX Schedule '!E22</f>
        <v>1472.9202303000213</v>
      </c>
      <c r="F10" s="10">
        <f>'CAPEX Schedule '!F22</f>
        <v>1534.6622717813029</v>
      </c>
      <c r="G10" s="10">
        <f>'CAPEX Schedule '!G22</f>
        <v>1598.3365148933096</v>
      </c>
      <c r="H10" s="10">
        <f>'CAPEX Schedule '!H22</f>
        <v>1664.0034273992089</v>
      </c>
    </row>
    <row r="11" spans="1:11" x14ac:dyDescent="0.3">
      <c r="A11" t="s">
        <v>7</v>
      </c>
      <c r="B11" s="5">
        <v>14464</v>
      </c>
      <c r="C11" s="5">
        <v>14615</v>
      </c>
      <c r="D11" s="14">
        <f>Assumption!D42</f>
        <v>15018.445718521054</v>
      </c>
      <c r="E11" s="14">
        <f>Assumption!E42</f>
        <v>15970.667738919774</v>
      </c>
      <c r="F11" s="14">
        <f>Assumption!F42</f>
        <v>17364.218942985608</v>
      </c>
      <c r="G11" s="14">
        <f>Assumption!G42</f>
        <v>18862.804042457814</v>
      </c>
      <c r="H11" s="14">
        <f>Assumption!H42</f>
        <v>20707.30484128253</v>
      </c>
    </row>
    <row r="12" spans="1:11" x14ac:dyDescent="0.3">
      <c r="A12" s="1" t="s">
        <v>16</v>
      </c>
      <c r="B12" s="5">
        <v>48783</v>
      </c>
      <c r="C12" s="5">
        <v>50019</v>
      </c>
      <c r="D12" s="14">
        <f>SUM(D5:D11)</f>
        <v>52014.438021449823</v>
      </c>
      <c r="E12" s="14">
        <f t="shared" ref="E12:H12" si="2">SUM(E5:E11)</f>
        <v>55973.345703641979</v>
      </c>
      <c r="F12" s="14">
        <f t="shared" si="2"/>
        <v>60783.657345712956</v>
      </c>
      <c r="G12" s="14">
        <f t="shared" si="2"/>
        <v>66451.599271770217</v>
      </c>
      <c r="H12" s="14">
        <f t="shared" si="2"/>
        <v>73231.26636911821</v>
      </c>
      <c r="I12" s="14"/>
    </row>
    <row r="13" spans="1:11" x14ac:dyDescent="0.3">
      <c r="A13" t="s">
        <v>17</v>
      </c>
      <c r="B13" s="5">
        <v>13924</v>
      </c>
      <c r="C13" s="5">
        <v>14119</v>
      </c>
      <c r="D13" s="5">
        <f>D4-D12</f>
        <v>14676.009978550181</v>
      </c>
      <c r="E13" s="5">
        <f t="shared" ref="E13:H13" si="3">E4-E12</f>
        <v>15711.786790358012</v>
      </c>
      <c r="F13" s="5">
        <f t="shared" si="3"/>
        <v>16806.947869999058</v>
      </c>
      <c r="G13" s="5">
        <f t="shared" si="3"/>
        <v>18107.486084744523</v>
      </c>
      <c r="H13" s="5">
        <f t="shared" si="3"/>
        <v>19546.594671358194</v>
      </c>
    </row>
    <row r="14" spans="1:11" x14ac:dyDescent="0.3">
      <c r="A14" t="s">
        <v>8</v>
      </c>
      <c r="B14" s="5">
        <v>-4</v>
      </c>
      <c r="C14" s="5">
        <v>-8</v>
      </c>
      <c r="D14" s="4">
        <f>Assumption!D9</f>
        <v>0</v>
      </c>
      <c r="E14" s="4">
        <f>Assumption!E9</f>
        <v>0</v>
      </c>
      <c r="F14" s="4">
        <f>Assumption!F9</f>
        <v>0</v>
      </c>
      <c r="G14" s="4">
        <f>Assumption!G9</f>
        <v>0</v>
      </c>
      <c r="H14" s="4">
        <f>Assumption!H9</f>
        <v>0</v>
      </c>
    </row>
    <row r="15" spans="1:11" x14ac:dyDescent="0.3">
      <c r="A15" t="s">
        <v>18</v>
      </c>
      <c r="B15" s="5">
        <v>13920</v>
      </c>
      <c r="C15" s="5">
        <v>14111</v>
      </c>
      <c r="D15" s="21">
        <f>D13-D14</f>
        <v>14676.009978550181</v>
      </c>
      <c r="E15" s="21">
        <f t="shared" ref="E15:H15" si="4">E13-E14</f>
        <v>15711.786790358012</v>
      </c>
      <c r="F15" s="21">
        <f t="shared" si="4"/>
        <v>16806.947869999058</v>
      </c>
      <c r="G15" s="21">
        <f t="shared" si="4"/>
        <v>18107.486084744523</v>
      </c>
      <c r="H15" s="21">
        <f t="shared" si="4"/>
        <v>19546.594671358194</v>
      </c>
    </row>
    <row r="16" spans="1:11" x14ac:dyDescent="0.3">
      <c r="A16" t="s">
        <v>19</v>
      </c>
      <c r="B16" s="5">
        <v>6</v>
      </c>
      <c r="C16" s="5">
        <v>305</v>
      </c>
      <c r="D16" s="5">
        <f>C16</f>
        <v>305</v>
      </c>
      <c r="E16" s="5">
        <f t="shared" ref="E16:H16" si="5">D16</f>
        <v>305</v>
      </c>
      <c r="F16" s="5">
        <f t="shared" si="5"/>
        <v>305</v>
      </c>
      <c r="G16" s="5">
        <f t="shared" si="5"/>
        <v>305</v>
      </c>
      <c r="H16" s="5">
        <f t="shared" si="5"/>
        <v>305</v>
      </c>
    </row>
    <row r="17" spans="1:8" x14ac:dyDescent="0.3">
      <c r="A17" s="1" t="s">
        <v>20</v>
      </c>
      <c r="B17" s="5">
        <v>13926</v>
      </c>
      <c r="C17" s="5">
        <v>14416</v>
      </c>
      <c r="D17" s="21">
        <f>D15+D16</f>
        <v>14981.009978550181</v>
      </c>
      <c r="E17" s="21">
        <f t="shared" ref="E17:H17" si="6">E15+E16</f>
        <v>16016.786790358012</v>
      </c>
      <c r="F17" s="21">
        <f t="shared" si="6"/>
        <v>17111.947869999058</v>
      </c>
      <c r="G17" s="21">
        <f t="shared" si="6"/>
        <v>18412.486084744523</v>
      </c>
      <c r="H17" s="21">
        <f t="shared" si="6"/>
        <v>19851.594671358194</v>
      </c>
    </row>
    <row r="18" spans="1:8" x14ac:dyDescent="0.3">
      <c r="A18" t="s">
        <v>21</v>
      </c>
      <c r="B18" s="5">
        <v>-3521</v>
      </c>
      <c r="C18" s="5">
        <v>-3620</v>
      </c>
      <c r="D18" s="4">
        <f>Assumption!D12</f>
        <v>-3761.8795867336057</v>
      </c>
      <c r="E18" s="4">
        <f>Assumption!E12</f>
        <v>-4021.9733754922308</v>
      </c>
      <c r="F18" s="4">
        <f>Assumption!F12</f>
        <v>-4296.9791404964344</v>
      </c>
      <c r="G18" s="4">
        <f>Assumption!G12</f>
        <v>-4623.5571328229171</v>
      </c>
      <c r="H18" s="4">
        <f>Assumption!H12</f>
        <v>-4984.9315143116437</v>
      </c>
    </row>
    <row r="19" spans="1:8" x14ac:dyDescent="0.3">
      <c r="A19" t="s">
        <v>22</v>
      </c>
      <c r="B19" s="5">
        <v>-123</v>
      </c>
      <c r="C19" s="5">
        <v>-124</v>
      </c>
      <c r="D19" s="4">
        <f>Assumption!D13</f>
        <v>-128.85996374446606</v>
      </c>
      <c r="E19" s="4">
        <f>Assumption!E13</f>
        <v>-137.76925374614271</v>
      </c>
      <c r="F19" s="4">
        <f>Assumption!F13</f>
        <v>-147.18934072418725</v>
      </c>
      <c r="G19" s="4">
        <f>Assumption!G13</f>
        <v>-158.37599018509439</v>
      </c>
      <c r="H19" s="4">
        <f>Assumption!H13</f>
        <v>-170.75456015874138</v>
      </c>
    </row>
    <row r="20" spans="1:8" x14ac:dyDescent="0.3">
      <c r="A20" s="1" t="s">
        <v>23</v>
      </c>
      <c r="B20" s="5">
        <v>10282</v>
      </c>
      <c r="C20" s="5">
        <v>10672</v>
      </c>
      <c r="D20" s="4">
        <f>D17+D18+D19</f>
        <v>11090.27042807211</v>
      </c>
      <c r="E20" s="4">
        <f t="shared" ref="E20:H20" si="7">E17+E18+E19</f>
        <v>11857.044161119638</v>
      </c>
      <c r="F20" s="4">
        <f t="shared" si="7"/>
        <v>12667.779388778436</v>
      </c>
      <c r="G20" s="4">
        <f t="shared" si="7"/>
        <v>13630.552961736514</v>
      </c>
      <c r="H20" s="4">
        <f t="shared" si="7"/>
        <v>14695.90859688781</v>
      </c>
    </row>
    <row r="21" spans="1:8" x14ac:dyDescent="0.3">
      <c r="A21" t="s">
        <v>24</v>
      </c>
      <c r="B21" s="5">
        <v>9870</v>
      </c>
      <c r="C21" s="5">
        <v>12455</v>
      </c>
      <c r="D21" s="74">
        <f>D20*C25</f>
        <v>12943.152003526811</v>
      </c>
      <c r="E21" s="74">
        <f t="shared" ref="E21:H21" si="8">E20*D25</f>
        <v>13838.032704904901</v>
      </c>
      <c r="F21" s="74">
        <f t="shared" si="8"/>
        <v>14784.219667094772</v>
      </c>
      <c r="G21" s="74">
        <f t="shared" si="8"/>
        <v>15907.846433510897</v>
      </c>
      <c r="H21" s="74">
        <f t="shared" si="8"/>
        <v>17151.19392562197</v>
      </c>
    </row>
    <row r="22" spans="1:8" x14ac:dyDescent="0.3">
      <c r="A22" t="s">
        <v>25</v>
      </c>
      <c r="B22" s="5">
        <v>412</v>
      </c>
      <c r="C22" s="5">
        <v>-1783</v>
      </c>
      <c r="D22" s="74">
        <f>D20-D21</f>
        <v>-1852.8815754547013</v>
      </c>
      <c r="E22" s="74">
        <f t="shared" ref="E22:H22" si="9">E20-E21</f>
        <v>-1980.9885437852627</v>
      </c>
      <c r="F22" s="74">
        <f t="shared" si="9"/>
        <v>-2116.4402783163368</v>
      </c>
      <c r="G22" s="74">
        <f t="shared" si="9"/>
        <v>-2277.2934717743829</v>
      </c>
      <c r="H22" s="74">
        <f t="shared" si="9"/>
        <v>-2455.2853287341604</v>
      </c>
    </row>
    <row r="24" spans="1:8" x14ac:dyDescent="0.3">
      <c r="C24" s="4"/>
    </row>
    <row r="25" spans="1:8" x14ac:dyDescent="0.3">
      <c r="A25" t="s">
        <v>188</v>
      </c>
      <c r="B25" s="51">
        <f>B21/B20</f>
        <v>0.95992997471309083</v>
      </c>
      <c r="C25" s="51">
        <f>C21/C20</f>
        <v>1.1670727136431784</v>
      </c>
      <c r="D25" s="51">
        <f>D21/D20</f>
        <v>1.1670727136431784</v>
      </c>
      <c r="E25" s="51">
        <f t="shared" ref="C25:H25" si="10">E21/E20</f>
        <v>1.1670727136431784</v>
      </c>
      <c r="F25" s="51">
        <f>F21/F20</f>
        <v>1.1670727136431784</v>
      </c>
      <c r="G25" s="51">
        <f t="shared" si="10"/>
        <v>1.1670727136431784</v>
      </c>
      <c r="H25" s="51">
        <f t="shared" si="10"/>
        <v>1.1670727136431784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AB3F-A195-432F-97C5-F4E42AD8FD7E}">
  <dimension ref="A1:I87"/>
  <sheetViews>
    <sheetView topLeftCell="A65" zoomScale="67" zoomScaleNormal="70" workbookViewId="0">
      <selection activeCell="C80" sqref="C80"/>
    </sheetView>
  </sheetViews>
  <sheetFormatPr defaultRowHeight="14.4" x14ac:dyDescent="0.3"/>
  <cols>
    <col min="1" max="1" width="50" customWidth="1"/>
    <col min="2" max="2" width="15.44140625" customWidth="1"/>
    <col min="3" max="3" width="15.88671875" customWidth="1"/>
    <col min="4" max="4" width="14.44140625" customWidth="1"/>
    <col min="5" max="5" width="17.109375" customWidth="1"/>
    <col min="6" max="6" width="14.88671875" customWidth="1"/>
    <col min="7" max="7" width="17.33203125" customWidth="1"/>
    <col min="8" max="8" width="13.5546875" customWidth="1"/>
  </cols>
  <sheetData>
    <row r="1" spans="1:8" x14ac:dyDescent="0.3">
      <c r="A1" s="1" t="s">
        <v>0</v>
      </c>
      <c r="B1" s="2">
        <f>IS!B1</f>
        <v>2024</v>
      </c>
      <c r="C1" s="2">
        <f>B1+1</f>
        <v>2025</v>
      </c>
      <c r="D1" s="3">
        <f>C1+1</f>
        <v>2026</v>
      </c>
      <c r="E1" s="3">
        <f>D1+1</f>
        <v>2027</v>
      </c>
      <c r="F1" s="3">
        <f>E1+1</f>
        <v>2028</v>
      </c>
      <c r="G1" s="3">
        <f t="shared" ref="G1:H1" si="0">F1+1</f>
        <v>2029</v>
      </c>
      <c r="H1" s="3">
        <f t="shared" si="0"/>
        <v>2030</v>
      </c>
    </row>
    <row r="2" spans="1:8" x14ac:dyDescent="0.3">
      <c r="A2" t="s">
        <v>1</v>
      </c>
      <c r="B2" s="4">
        <f>IS!B2</f>
        <v>61896</v>
      </c>
      <c r="C2" s="4">
        <f>IS!C2</f>
        <v>63121</v>
      </c>
      <c r="D2" s="14">
        <f>D24</f>
        <v>65571.748000000007</v>
      </c>
      <c r="E2" s="14">
        <f t="shared" ref="E2:H2" si="1">E24</f>
        <v>70443.375493999993</v>
      </c>
      <c r="F2" s="14">
        <f t="shared" si="1"/>
        <v>76199.837375712013</v>
      </c>
      <c r="G2" s="14">
        <f t="shared" si="1"/>
        <v>82987.517697314746</v>
      </c>
      <c r="H2" s="14">
        <f t="shared" si="1"/>
        <v>90986.273908988398</v>
      </c>
    </row>
    <row r="3" spans="1:8" x14ac:dyDescent="0.3">
      <c r="A3" t="s">
        <v>2</v>
      </c>
      <c r="B3" s="4">
        <f>IS!B3</f>
        <v>811</v>
      </c>
      <c r="C3" s="4">
        <f>IS!C3</f>
        <v>1017</v>
      </c>
      <c r="D3" s="14">
        <f>D26</f>
        <v>1118.7</v>
      </c>
      <c r="E3" s="14">
        <f t="shared" ref="E3:H3" si="2">E26</f>
        <v>1241.7570000000001</v>
      </c>
      <c r="F3" s="14">
        <f t="shared" si="2"/>
        <v>1390.7678400000002</v>
      </c>
      <c r="G3" s="14">
        <f t="shared" si="2"/>
        <v>1571.5676592</v>
      </c>
      <c r="H3" s="14">
        <f t="shared" si="2"/>
        <v>1791.5871314880001</v>
      </c>
    </row>
    <row r="4" spans="1:8" x14ac:dyDescent="0.3">
      <c r="A4" t="s">
        <v>3</v>
      </c>
      <c r="B4" s="4">
        <f>IS!B5</f>
        <v>19257</v>
      </c>
      <c r="C4" s="4">
        <f>IS!C5</f>
        <v>19458</v>
      </c>
      <c r="D4" s="14">
        <f>D30</f>
        <v>20307.036890839569</v>
      </c>
      <c r="E4" s="14">
        <f t="shared" ref="E4:H4" si="3">E30</f>
        <v>21765.486473159544</v>
      </c>
      <c r="F4" s="14">
        <f t="shared" si="3"/>
        <v>23571.289485093941</v>
      </c>
      <c r="G4" s="14">
        <f t="shared" si="3"/>
        <v>25656.157035797463</v>
      </c>
      <c r="H4" s="14">
        <f t="shared" si="3"/>
        <v>28137.1406894223</v>
      </c>
    </row>
    <row r="5" spans="1:8" x14ac:dyDescent="0.3">
      <c r="A5" t="s">
        <v>4</v>
      </c>
      <c r="B5" s="4">
        <f>IS!B6</f>
        <v>10514</v>
      </c>
      <c r="C5" s="4">
        <f>IS!C6</f>
        <v>11272</v>
      </c>
      <c r="D5" s="14">
        <f>D33</f>
        <v>11424.01594705551</v>
      </c>
      <c r="E5" s="14">
        <f t="shared" ref="E5:H5" si="4">E33</f>
        <v>12426.185695555114</v>
      </c>
      <c r="F5" s="14">
        <f t="shared" si="4"/>
        <v>13358.641164289327</v>
      </c>
      <c r="G5" s="14">
        <f t="shared" si="4"/>
        <v>14593.780722224412</v>
      </c>
      <c r="H5" s="14">
        <f t="shared" si="4"/>
        <v>15975.631820265909</v>
      </c>
    </row>
    <row r="6" spans="1:8" x14ac:dyDescent="0.3">
      <c r="A6" t="s">
        <v>5</v>
      </c>
      <c r="B6" s="4">
        <f>IS!B7</f>
        <v>-11</v>
      </c>
      <c r="C6" s="4">
        <f>IS!C7</f>
        <v>-153</v>
      </c>
      <c r="D6" s="4">
        <f>0</f>
        <v>0</v>
      </c>
      <c r="E6" s="4">
        <f>0</f>
        <v>0</v>
      </c>
      <c r="F6" s="4">
        <f>0</f>
        <v>0</v>
      </c>
      <c r="G6" s="4">
        <f>0</f>
        <v>0</v>
      </c>
      <c r="H6" s="4">
        <f>0</f>
        <v>0</v>
      </c>
    </row>
    <row r="7" spans="1:8" x14ac:dyDescent="0.3">
      <c r="A7" t="s">
        <v>6</v>
      </c>
      <c r="B7" s="4">
        <f>IS!B8</f>
        <v>3009</v>
      </c>
      <c r="C7" s="4">
        <f>IS!C8</f>
        <v>3077</v>
      </c>
      <c r="D7" s="4">
        <f>D36</f>
        <v>3457.3172000000004</v>
      </c>
      <c r="E7" s="4">
        <f t="shared" ref="E7:H7" si="5">E36</f>
        <v>3939.7858152600006</v>
      </c>
      <c r="F7" s="4">
        <f t="shared" si="5"/>
        <v>4552.8164881144576</v>
      </c>
      <c r="G7" s="4">
        <f t="shared" si="5"/>
        <v>5334.7627199481158</v>
      </c>
      <c r="H7" s="4">
        <f t="shared" si="5"/>
        <v>6337.6981112983631</v>
      </c>
    </row>
    <row r="8" spans="1:8" x14ac:dyDescent="0.3">
      <c r="A8" t="s">
        <v>7</v>
      </c>
      <c r="B8" s="4">
        <f>IS!B11</f>
        <v>14464</v>
      </c>
      <c r="C8" s="4">
        <f>IS!C11</f>
        <v>14615</v>
      </c>
      <c r="D8" s="14">
        <f>D42</f>
        <v>15018.445718521054</v>
      </c>
      <c r="E8" s="14">
        <f t="shared" ref="E8:H8" si="6">E42</f>
        <v>15970.667738919774</v>
      </c>
      <c r="F8" s="14">
        <f t="shared" si="6"/>
        <v>17364.218942985608</v>
      </c>
      <c r="G8" s="14">
        <f t="shared" si="6"/>
        <v>18862.804042457814</v>
      </c>
      <c r="H8" s="14">
        <f t="shared" si="6"/>
        <v>20707.30484128253</v>
      </c>
    </row>
    <row r="9" spans="1:8" x14ac:dyDescent="0.3">
      <c r="A9" t="s">
        <v>8</v>
      </c>
      <c r="B9" s="4">
        <f>IS!B14</f>
        <v>-4</v>
      </c>
      <c r="C9" s="4">
        <f>IS!C14</f>
        <v>-8</v>
      </c>
      <c r="D9" s="4">
        <f>0</f>
        <v>0</v>
      </c>
      <c r="E9" s="4">
        <f>0</f>
        <v>0</v>
      </c>
      <c r="F9" s="4">
        <f>0</f>
        <v>0</v>
      </c>
      <c r="G9" s="4">
        <f>0</f>
        <v>0</v>
      </c>
      <c r="H9" s="4">
        <f>0</f>
        <v>0</v>
      </c>
    </row>
    <row r="10" spans="1:8" x14ac:dyDescent="0.3">
      <c r="A10" t="s">
        <v>19</v>
      </c>
      <c r="B10" s="4">
        <f>IS!B16</f>
        <v>6</v>
      </c>
      <c r="C10" s="4">
        <f>IS!C16</f>
        <v>305</v>
      </c>
      <c r="D10" s="4">
        <f>C10</f>
        <v>305</v>
      </c>
      <c r="E10" s="4">
        <f t="shared" ref="E10:H10" si="7">D10</f>
        <v>305</v>
      </c>
      <c r="F10" s="4">
        <f t="shared" si="7"/>
        <v>305</v>
      </c>
      <c r="G10" s="4">
        <f t="shared" si="7"/>
        <v>305</v>
      </c>
      <c r="H10" s="4">
        <f t="shared" si="7"/>
        <v>305</v>
      </c>
    </row>
    <row r="11" spans="1:8" x14ac:dyDescent="0.3">
      <c r="A11" t="s">
        <v>26</v>
      </c>
      <c r="B11" s="4">
        <f>SUM(B12:B13)</f>
        <v>-3644</v>
      </c>
      <c r="C11" s="4">
        <f>SUM(C12:C13)</f>
        <v>-3744</v>
      </c>
      <c r="D11" s="4">
        <f>D66</f>
        <v>-3890.7395504780716</v>
      </c>
      <c r="E11" s="4">
        <f t="shared" ref="E11:H11" si="8">E66</f>
        <v>-4159.7426292383734</v>
      </c>
      <c r="F11" s="4">
        <f t="shared" si="8"/>
        <v>-4444.1684812206213</v>
      </c>
      <c r="G11" s="4">
        <f t="shared" si="8"/>
        <v>-4781.9331230080115</v>
      </c>
      <c r="H11" s="4">
        <f t="shared" si="8"/>
        <v>-5155.6860744703854</v>
      </c>
    </row>
    <row r="12" spans="1:8" x14ac:dyDescent="0.3">
      <c r="A12" t="s">
        <v>27</v>
      </c>
      <c r="B12" s="4">
        <f>IS!B18</f>
        <v>-3521</v>
      </c>
      <c r="C12" s="4">
        <f>IS!C18</f>
        <v>-3620</v>
      </c>
      <c r="D12" s="4">
        <f>D68</f>
        <v>-3761.8795867336057</v>
      </c>
      <c r="E12" s="4">
        <f t="shared" ref="E12:H12" si="9">E68</f>
        <v>-4021.9733754922308</v>
      </c>
      <c r="F12" s="4">
        <f t="shared" si="9"/>
        <v>-4296.9791404964344</v>
      </c>
      <c r="G12" s="4">
        <f t="shared" si="9"/>
        <v>-4623.5571328229171</v>
      </c>
      <c r="H12" s="4">
        <f t="shared" si="9"/>
        <v>-4984.9315143116437</v>
      </c>
    </row>
    <row r="13" spans="1:8" x14ac:dyDescent="0.3">
      <c r="A13" t="s">
        <v>22</v>
      </c>
      <c r="B13" s="4">
        <f>IS!B19</f>
        <v>-123</v>
      </c>
      <c r="C13" s="4">
        <f>IS!C19</f>
        <v>-124</v>
      </c>
      <c r="D13" s="4">
        <f>D70</f>
        <v>-128.85996374446606</v>
      </c>
      <c r="E13" s="4">
        <f t="shared" ref="E13:H13" si="10">E70</f>
        <v>-137.76925374614271</v>
      </c>
      <c r="F13" s="4">
        <f t="shared" si="10"/>
        <v>-147.18934072418725</v>
      </c>
      <c r="G13" s="4">
        <f t="shared" si="10"/>
        <v>-158.37599018509439</v>
      </c>
      <c r="H13" s="4">
        <f t="shared" si="10"/>
        <v>-170.75456015874138</v>
      </c>
    </row>
    <row r="15" spans="1:8" x14ac:dyDescent="0.3">
      <c r="A15" s="1" t="s">
        <v>35</v>
      </c>
      <c r="B15" s="2">
        <f>B1</f>
        <v>2024</v>
      </c>
      <c r="C15" s="2">
        <f t="shared" ref="C15:H15" si="11">C1</f>
        <v>2025</v>
      </c>
      <c r="D15" s="3">
        <f t="shared" si="11"/>
        <v>2026</v>
      </c>
      <c r="E15" s="3">
        <f t="shared" si="11"/>
        <v>2027</v>
      </c>
      <c r="F15" s="3">
        <f t="shared" si="11"/>
        <v>2028</v>
      </c>
      <c r="G15" s="3">
        <f t="shared" si="11"/>
        <v>2029</v>
      </c>
      <c r="H15" s="3">
        <f t="shared" si="11"/>
        <v>2030</v>
      </c>
    </row>
    <row r="16" spans="1:8" x14ac:dyDescent="0.3">
      <c r="A16" t="s">
        <v>28</v>
      </c>
      <c r="B16" s="4">
        <v>21882</v>
      </c>
      <c r="C16" s="4">
        <v>22972</v>
      </c>
      <c r="D16" s="4">
        <f>C16*(1+D17)</f>
        <v>25269.200000000001</v>
      </c>
      <c r="E16" s="4">
        <f t="shared" ref="E16:H16" si="12">D16*(1+E17)</f>
        <v>27922.466</v>
      </c>
      <c r="F16" s="4">
        <f t="shared" si="12"/>
        <v>30993.937260000002</v>
      </c>
      <c r="G16" s="4">
        <f t="shared" si="12"/>
        <v>34558.240044900005</v>
      </c>
      <c r="H16" s="4">
        <f t="shared" si="12"/>
        <v>38705.228850288011</v>
      </c>
    </row>
    <row r="17" spans="1:9" x14ac:dyDescent="0.3">
      <c r="A17" s="15" t="s">
        <v>29</v>
      </c>
      <c r="B17" s="8">
        <v>3.1E-2</v>
      </c>
      <c r="C17" s="8">
        <f>C16/B16-1</f>
        <v>4.9812631386527695E-2</v>
      </c>
      <c r="D17" s="12">
        <v>0.1</v>
      </c>
      <c r="E17" s="12">
        <f>D17+0.5%</f>
        <v>0.10500000000000001</v>
      </c>
      <c r="F17" s="12">
        <f t="shared" ref="F17:H17" si="13">E17+0.5%</f>
        <v>0.11000000000000001</v>
      </c>
      <c r="G17" s="12">
        <f t="shared" si="13"/>
        <v>0.11500000000000002</v>
      </c>
      <c r="H17" s="12">
        <f t="shared" si="13"/>
        <v>0.12000000000000002</v>
      </c>
      <c r="I17" t="s">
        <v>34</v>
      </c>
    </row>
    <row r="18" spans="1:9" x14ac:dyDescent="0.3">
      <c r="A18" t="s">
        <v>30</v>
      </c>
      <c r="B18" s="10">
        <v>22448</v>
      </c>
      <c r="C18" s="10">
        <v>22241</v>
      </c>
      <c r="D18" s="14">
        <f>C18*(1+D19)</f>
        <v>23353.05</v>
      </c>
      <c r="E18" s="14">
        <f t="shared" ref="E18:H18" si="14">D18*(1+E19)</f>
        <v>24754.233</v>
      </c>
      <c r="F18" s="14">
        <f t="shared" si="14"/>
        <v>26487.029310000002</v>
      </c>
      <c r="G18" s="14">
        <f t="shared" si="14"/>
        <v>28605.991654800004</v>
      </c>
      <c r="H18" s="14">
        <f t="shared" si="14"/>
        <v>31180.530903732008</v>
      </c>
    </row>
    <row r="19" spans="1:9" x14ac:dyDescent="0.3">
      <c r="A19" s="15" t="s">
        <v>29</v>
      </c>
      <c r="B19" s="8">
        <v>1.9E-2</v>
      </c>
      <c r="C19" s="8">
        <f>C18/B18-1</f>
        <v>-9.2213114754098324E-3</v>
      </c>
      <c r="D19" s="13">
        <v>0.05</v>
      </c>
      <c r="E19" s="7">
        <f>D19+1%</f>
        <v>6.0000000000000005E-2</v>
      </c>
      <c r="F19" s="7">
        <f t="shared" ref="F19:H19" si="15">E19+1%</f>
        <v>7.0000000000000007E-2</v>
      </c>
      <c r="G19" s="7">
        <f t="shared" si="15"/>
        <v>0.08</v>
      </c>
      <c r="H19" s="7">
        <f t="shared" si="15"/>
        <v>0.09</v>
      </c>
      <c r="I19" t="s">
        <v>34</v>
      </c>
    </row>
    <row r="20" spans="1:9" s="6" customFormat="1" x14ac:dyDescent="0.3">
      <c r="A20" s="6" t="s">
        <v>31</v>
      </c>
      <c r="B20" s="27">
        <v>15291</v>
      </c>
      <c r="C20" s="27">
        <v>15291</v>
      </c>
      <c r="D20" s="27">
        <f>C20*(1+D21)</f>
        <v>15872.058000000001</v>
      </c>
      <c r="E20" s="27">
        <f t="shared" ref="E20:H20" si="16">D20*(1+E21)</f>
        <v>16554.556494</v>
      </c>
      <c r="F20" s="27">
        <f t="shared" si="16"/>
        <v>17349.175205711999</v>
      </c>
      <c r="G20" s="27">
        <f t="shared" si="16"/>
        <v>18268.681491614734</v>
      </c>
      <c r="H20" s="27">
        <f t="shared" si="16"/>
        <v>19328.26501812839</v>
      </c>
    </row>
    <row r="21" spans="1:9" x14ac:dyDescent="0.3">
      <c r="A21" s="15" t="s">
        <v>29</v>
      </c>
      <c r="B21" s="7">
        <v>2.8000000000000001E-2</v>
      </c>
      <c r="C21" s="6">
        <f>C20/B20-1</f>
        <v>0</v>
      </c>
      <c r="D21" s="12">
        <v>3.7999999999999999E-2</v>
      </c>
      <c r="E21" s="12">
        <f>D21+0.5%</f>
        <v>4.2999999999999997E-2</v>
      </c>
      <c r="F21" s="12">
        <f t="shared" ref="F21:H21" si="17">E21+0.5%</f>
        <v>4.7999999999999994E-2</v>
      </c>
      <c r="G21" s="12">
        <f t="shared" si="17"/>
        <v>5.2999999999999992E-2</v>
      </c>
      <c r="H21" s="12">
        <f t="shared" si="17"/>
        <v>5.7999999999999989E-2</v>
      </c>
      <c r="I21" t="s">
        <v>34</v>
      </c>
    </row>
    <row r="22" spans="1:9" x14ac:dyDescent="0.3">
      <c r="A22" t="s">
        <v>32</v>
      </c>
      <c r="B22" s="10">
        <v>2275</v>
      </c>
      <c r="C22" s="10">
        <v>962</v>
      </c>
      <c r="D22" s="14">
        <f>C22*(1+D23)</f>
        <v>1077.44</v>
      </c>
      <c r="E22" s="14">
        <f t="shared" ref="E22:H22" si="18">D22*(1+E23)</f>
        <v>1212.1200000000001</v>
      </c>
      <c r="F22" s="14">
        <f t="shared" si="18"/>
        <v>1369.6956</v>
      </c>
      <c r="G22" s="14">
        <f t="shared" si="18"/>
        <v>1554.6045060000001</v>
      </c>
      <c r="H22" s="14">
        <f t="shared" si="18"/>
        <v>1772.2491368400003</v>
      </c>
    </row>
    <row r="23" spans="1:9" x14ac:dyDescent="0.3">
      <c r="A23" s="15" t="s">
        <v>29</v>
      </c>
      <c r="B23" s="7">
        <v>-7.4999999999999997E-2</v>
      </c>
      <c r="C23" s="8">
        <f>C22/B22-1</f>
        <v>-0.57714285714285718</v>
      </c>
      <c r="D23" s="13">
        <v>0.12</v>
      </c>
      <c r="E23" s="12">
        <f>D23+0.5%</f>
        <v>0.125</v>
      </c>
      <c r="F23" s="12">
        <f t="shared" ref="F23:H23" si="19">E23+0.5%</f>
        <v>0.13</v>
      </c>
      <c r="G23" s="12">
        <f t="shared" si="19"/>
        <v>0.13500000000000001</v>
      </c>
      <c r="H23" s="12">
        <f t="shared" si="19"/>
        <v>0.14000000000000001</v>
      </c>
      <c r="I23" t="s">
        <v>34</v>
      </c>
    </row>
    <row r="24" spans="1:9" x14ac:dyDescent="0.3">
      <c r="A24" t="s">
        <v>33</v>
      </c>
      <c r="B24" s="11">
        <f>SUM(B16,B18,B20,B22)</f>
        <v>61896</v>
      </c>
      <c r="C24" s="11">
        <f>SUM(C16,C18,C20,C22)</f>
        <v>61466</v>
      </c>
      <c r="D24" s="11">
        <f t="shared" ref="D24:H24" si="20">SUM(D16,D18,D20,D22)</f>
        <v>65571.748000000007</v>
      </c>
      <c r="E24" s="11">
        <f t="shared" si="20"/>
        <v>70443.375493999993</v>
      </c>
      <c r="F24" s="11">
        <f t="shared" si="20"/>
        <v>76199.837375712013</v>
      </c>
      <c r="G24" s="11">
        <f t="shared" si="20"/>
        <v>82987.517697314746</v>
      </c>
      <c r="H24" s="11">
        <f t="shared" si="20"/>
        <v>90986.273908988398</v>
      </c>
    </row>
    <row r="25" spans="1:9" x14ac:dyDescent="0.3">
      <c r="A25" s="15" t="s">
        <v>29</v>
      </c>
      <c r="B25" s="7">
        <v>2.1999999999999999E-2</v>
      </c>
      <c r="C25" s="8">
        <f>C24/B24-1</f>
        <v>-6.9471371332557874E-3</v>
      </c>
      <c r="D25" s="8">
        <f>D24/C24-1</f>
        <v>6.6797058536426812E-2</v>
      </c>
      <c r="E25" s="8">
        <f t="shared" ref="E25:H25" si="21">E24/D24-1</f>
        <v>7.4294610752179135E-2</v>
      </c>
      <c r="F25" s="8">
        <f t="shared" si="21"/>
        <v>8.1717575873437864E-2</v>
      </c>
      <c r="G25" s="8">
        <f t="shared" si="21"/>
        <v>8.9077359681692059E-2</v>
      </c>
      <c r="H25" s="8">
        <f t="shared" si="21"/>
        <v>9.6385052036958019E-2</v>
      </c>
      <c r="I25" t="s">
        <v>34</v>
      </c>
    </row>
    <row r="26" spans="1:9" x14ac:dyDescent="0.3">
      <c r="A26" t="s">
        <v>2</v>
      </c>
      <c r="B26" s="10">
        <f>B3</f>
        <v>811</v>
      </c>
      <c r="C26" s="10">
        <f>C3</f>
        <v>1017</v>
      </c>
      <c r="D26" s="14">
        <f>C26*(1+D27)</f>
        <v>1118.7</v>
      </c>
      <c r="E26" s="14">
        <f t="shared" ref="E26:H26" si="22">D26*(1+E27)</f>
        <v>1241.7570000000001</v>
      </c>
      <c r="F26" s="14">
        <f t="shared" si="22"/>
        <v>1390.7678400000002</v>
      </c>
      <c r="G26" s="14">
        <f t="shared" si="22"/>
        <v>1571.5676592</v>
      </c>
      <c r="H26" s="14">
        <f t="shared" si="22"/>
        <v>1791.5871314880001</v>
      </c>
    </row>
    <row r="27" spans="1:9" x14ac:dyDescent="0.3">
      <c r="A27" s="15" t="s">
        <v>29</v>
      </c>
      <c r="B27" s="7"/>
      <c r="C27" s="8">
        <f>C26/B26-1</f>
        <v>0.25400739827373608</v>
      </c>
      <c r="D27" s="8">
        <v>0.1</v>
      </c>
      <c r="E27" s="12">
        <f>D27+1%</f>
        <v>0.11</v>
      </c>
      <c r="F27" s="12">
        <f t="shared" ref="F27:H27" si="23">E27+1%</f>
        <v>0.12</v>
      </c>
      <c r="G27" s="12">
        <f t="shared" si="23"/>
        <v>0.13</v>
      </c>
      <c r="H27" s="12">
        <f t="shared" si="23"/>
        <v>0.14000000000000001</v>
      </c>
      <c r="I27" t="s">
        <v>34</v>
      </c>
    </row>
    <row r="29" spans="1:9" x14ac:dyDescent="0.3">
      <c r="A29" s="1" t="s">
        <v>36</v>
      </c>
    </row>
    <row r="30" spans="1:9" x14ac:dyDescent="0.3">
      <c r="A30" s="16" t="s">
        <v>37</v>
      </c>
      <c r="B30" s="4">
        <f>B4</f>
        <v>19257</v>
      </c>
      <c r="C30" s="4">
        <f>C4</f>
        <v>19458</v>
      </c>
      <c r="D30" s="14">
        <f>D31*D2</f>
        <v>20307.036890839569</v>
      </c>
      <c r="E30" s="14">
        <f t="shared" ref="E30:G30" si="24">E31*E2</f>
        <v>21765.486473159544</v>
      </c>
      <c r="F30" s="14">
        <f t="shared" si="24"/>
        <v>23571.289485093941</v>
      </c>
      <c r="G30" s="14">
        <f t="shared" si="24"/>
        <v>25656.157035797463</v>
      </c>
      <c r="H30" s="14">
        <f>H31*H2</f>
        <v>28137.1406894223</v>
      </c>
    </row>
    <row r="31" spans="1:9" x14ac:dyDescent="0.3">
      <c r="A31" s="15" t="s">
        <v>38</v>
      </c>
      <c r="B31" s="9">
        <f>B30/B24</f>
        <v>0.31111865063978283</v>
      </c>
      <c r="C31" s="9">
        <f>C30/C2</f>
        <v>0.308265078183172</v>
      </c>
      <c r="D31" s="7">
        <f>AVERAGE(B31:C31)</f>
        <v>0.30969186441147745</v>
      </c>
      <c r="E31" s="7">
        <f t="shared" ref="E31:H31" si="25">AVERAGE(C31:D31)</f>
        <v>0.3089784712973247</v>
      </c>
      <c r="F31" s="7">
        <f t="shared" si="25"/>
        <v>0.30933516785440107</v>
      </c>
      <c r="G31" s="7">
        <f t="shared" si="25"/>
        <v>0.30915681957586288</v>
      </c>
      <c r="H31" s="7">
        <f t="shared" si="25"/>
        <v>0.30924599371513195</v>
      </c>
    </row>
    <row r="33" spans="1:9" x14ac:dyDescent="0.3">
      <c r="A33" s="16" t="s">
        <v>39</v>
      </c>
      <c r="B33" s="4">
        <f>B5</f>
        <v>10514</v>
      </c>
      <c r="C33" s="4">
        <f>C5</f>
        <v>11272</v>
      </c>
      <c r="D33" s="14">
        <f>D2*D34</f>
        <v>11424.01594705551</v>
      </c>
      <c r="E33" s="14">
        <f t="shared" ref="E33:H33" si="26">E2*E34</f>
        <v>12426.185695555114</v>
      </c>
      <c r="F33" s="14">
        <f t="shared" si="26"/>
        <v>13358.641164289327</v>
      </c>
      <c r="G33" s="14">
        <f t="shared" si="26"/>
        <v>14593.780722224412</v>
      </c>
      <c r="H33" s="14">
        <f t="shared" si="26"/>
        <v>15975.631820265909</v>
      </c>
    </row>
    <row r="34" spans="1:9" x14ac:dyDescent="0.3">
      <c r="A34" s="15" t="s">
        <v>40</v>
      </c>
      <c r="B34" s="9">
        <f>B33/B2</f>
        <v>0.16986558097453794</v>
      </c>
      <c r="C34" s="9">
        <f>C33/C2</f>
        <v>0.17857765244530346</v>
      </c>
      <c r="D34" s="9">
        <f>AVERAGE(B34:C34)</f>
        <v>0.1742216167099207</v>
      </c>
      <c r="E34" s="9">
        <f t="shared" ref="E34:H34" si="27">AVERAGE(C34:D34)</f>
        <v>0.1763996345776121</v>
      </c>
      <c r="F34" s="9">
        <f t="shared" si="27"/>
        <v>0.1753106256437664</v>
      </c>
      <c r="G34" s="9">
        <f t="shared" si="27"/>
        <v>0.17585513011068926</v>
      </c>
      <c r="H34" s="9">
        <f t="shared" si="27"/>
        <v>0.17558287787722782</v>
      </c>
    </row>
    <row r="36" spans="1:9" x14ac:dyDescent="0.3">
      <c r="A36" s="16" t="s">
        <v>6</v>
      </c>
      <c r="B36" s="4">
        <f>B7</f>
        <v>3009</v>
      </c>
      <c r="C36" s="4">
        <f>C7</f>
        <v>3077</v>
      </c>
      <c r="D36" s="4">
        <f>D37*D39</f>
        <v>3457.3172000000004</v>
      </c>
      <c r="E36" s="4">
        <f t="shared" ref="E36:H36" si="28">E37*E39</f>
        <v>3939.7858152600006</v>
      </c>
      <c r="F36" s="4">
        <f t="shared" si="28"/>
        <v>4552.8164881144576</v>
      </c>
      <c r="G36" s="4">
        <f t="shared" si="28"/>
        <v>5334.7627199481158</v>
      </c>
      <c r="H36" s="4">
        <f t="shared" si="28"/>
        <v>6337.6981112983631</v>
      </c>
    </row>
    <row r="37" spans="1:9" x14ac:dyDescent="0.3">
      <c r="A37" t="s">
        <v>41</v>
      </c>
      <c r="B37" s="17">
        <v>7215</v>
      </c>
      <c r="C37" s="17">
        <v>8202</v>
      </c>
      <c r="D37" s="17">
        <f>C37*(1+D38)</f>
        <v>8694.1200000000008</v>
      </c>
      <c r="E37" s="17">
        <f t="shared" ref="E37:H37" si="29">D37*(1+E38)</f>
        <v>9302.7084000000013</v>
      </c>
      <c r="F37" s="17">
        <f t="shared" si="29"/>
        <v>10046.925072000002</v>
      </c>
      <c r="G37" s="17">
        <f t="shared" si="29"/>
        <v>10951.148328480003</v>
      </c>
      <c r="H37" s="17">
        <f t="shared" si="29"/>
        <v>12046.263161328005</v>
      </c>
      <c r="I37" t="s">
        <v>47</v>
      </c>
    </row>
    <row r="38" spans="1:9" x14ac:dyDescent="0.3">
      <c r="A38" s="15" t="s">
        <v>29</v>
      </c>
      <c r="C38" s="9">
        <f>C37/B37-1</f>
        <v>0.13679833679833675</v>
      </c>
      <c r="D38" s="13">
        <v>0.06</v>
      </c>
      <c r="E38" s="7">
        <f>D38+1%</f>
        <v>6.9999999999999993E-2</v>
      </c>
      <c r="F38" s="7">
        <f t="shared" ref="F38:H38" si="30">E38+1%</f>
        <v>7.9999999999999988E-2</v>
      </c>
      <c r="G38" s="7">
        <f t="shared" si="30"/>
        <v>8.9999999999999983E-2</v>
      </c>
      <c r="H38" s="7">
        <f t="shared" si="30"/>
        <v>9.9999999999999978E-2</v>
      </c>
    </row>
    <row r="39" spans="1:9" x14ac:dyDescent="0.3">
      <c r="A39" t="s">
        <v>42</v>
      </c>
      <c r="B39" s="4">
        <f>B36/B37</f>
        <v>0.41704781704781707</v>
      </c>
      <c r="C39" s="4">
        <f t="shared" ref="C39" si="31">C36/C37</f>
        <v>0.37515240185320653</v>
      </c>
      <c r="D39" s="4">
        <f>C39*(1+D40)</f>
        <v>0.39766154596439895</v>
      </c>
      <c r="E39" s="4">
        <f t="shared" ref="E39:H39" si="32">D39*(1+E40)</f>
        <v>0.42350954645208488</v>
      </c>
      <c r="F39" s="4">
        <f t="shared" si="32"/>
        <v>0.45315521470373088</v>
      </c>
      <c r="G39" s="4">
        <f t="shared" si="32"/>
        <v>0.48714185580651065</v>
      </c>
      <c r="H39" s="4">
        <f t="shared" si="32"/>
        <v>0.52611320427103159</v>
      </c>
    </row>
    <row r="40" spans="1:9" x14ac:dyDescent="0.3">
      <c r="A40" s="15" t="s">
        <v>29</v>
      </c>
      <c r="C40" s="6">
        <f>C39/B39-1</f>
        <v>-0.10045710223632931</v>
      </c>
      <c r="D40" s="13">
        <v>0.06</v>
      </c>
      <c r="E40" s="18">
        <f>D40+0.5%</f>
        <v>6.5000000000000002E-2</v>
      </c>
      <c r="F40" s="18">
        <f t="shared" ref="F40:H40" si="33">E40+0.5%</f>
        <v>7.0000000000000007E-2</v>
      </c>
      <c r="G40" s="18">
        <f t="shared" si="33"/>
        <v>7.5000000000000011E-2</v>
      </c>
      <c r="H40" s="18">
        <f t="shared" si="33"/>
        <v>8.0000000000000016E-2</v>
      </c>
    </row>
    <row r="42" spans="1:9" x14ac:dyDescent="0.3">
      <c r="A42" s="16" t="s">
        <v>43</v>
      </c>
      <c r="B42" s="4">
        <f>B8</f>
        <v>14464</v>
      </c>
      <c r="C42" s="4">
        <f>C8</f>
        <v>14615</v>
      </c>
      <c r="D42" s="14">
        <f>SUM(D44,D46,D48,D50,D52,D54,D56,D58,D60,D62,D64)</f>
        <v>15018.445718521054</v>
      </c>
      <c r="E42" s="14">
        <f t="shared" ref="E42:H42" si="34">SUM(E44,E46,E48,E50,E52,E54,E56,E58,E60,E62,E64)</f>
        <v>15970.667738919774</v>
      </c>
      <c r="F42" s="14">
        <f t="shared" si="34"/>
        <v>17364.218942985608</v>
      </c>
      <c r="G42" s="14">
        <f t="shared" si="34"/>
        <v>18862.804042457814</v>
      </c>
      <c r="H42" s="14">
        <f t="shared" si="34"/>
        <v>20707.30484128253</v>
      </c>
    </row>
    <row r="43" spans="1:9" x14ac:dyDescent="0.3">
      <c r="A43" s="15" t="s">
        <v>40</v>
      </c>
      <c r="B43" s="6">
        <f>B42/B2</f>
        <v>0.23368230580328292</v>
      </c>
      <c r="C43" s="6">
        <f>C42/C2</f>
        <v>0.23153942428035043</v>
      </c>
      <c r="D43" s="6">
        <f t="shared" ref="D43:H43" si="35">D42/D2</f>
        <v>0.22903836143762787</v>
      </c>
      <c r="E43" s="6">
        <f t="shared" si="35"/>
        <v>0.22671638925480045</v>
      </c>
      <c r="F43" s="6">
        <f t="shared" si="35"/>
        <v>0.22787737534621419</v>
      </c>
      <c r="G43" s="6">
        <f t="shared" si="35"/>
        <v>0.22729688230050726</v>
      </c>
      <c r="H43" s="6">
        <f t="shared" si="35"/>
        <v>0.22758712882336077</v>
      </c>
    </row>
    <row r="44" spans="1:9" x14ac:dyDescent="0.3">
      <c r="A44" t="s">
        <v>44</v>
      </c>
      <c r="B44" s="4">
        <v>6489</v>
      </c>
      <c r="C44" s="4">
        <v>6028</v>
      </c>
      <c r="D44" s="14">
        <f>D45*D2</f>
        <v>6568.1996047728917</v>
      </c>
      <c r="E44" s="14">
        <f t="shared" ref="E44:H44" si="36">E45*E2</f>
        <v>6891.7309295653031</v>
      </c>
      <c r="F44" s="14">
        <f t="shared" si="36"/>
        <v>7543.8509772348689</v>
      </c>
      <c r="G44" s="14">
        <f t="shared" si="36"/>
        <v>8167.4035821304124</v>
      </c>
      <c r="H44" s="14">
        <f t="shared" si="36"/>
        <v>8981.1702058023457</v>
      </c>
    </row>
    <row r="45" spans="1:9" x14ac:dyDescent="0.3">
      <c r="A45" s="15" t="s">
        <v>38</v>
      </c>
      <c r="B45" s="8">
        <f>B44/B2</f>
        <v>0.10483714618069019</v>
      </c>
      <c r="C45" s="8">
        <f>C44/C2</f>
        <v>9.5499120736363491E-2</v>
      </c>
      <c r="D45" s="12">
        <f>AVERAGE(B45:C45)</f>
        <v>0.10016813345852685</v>
      </c>
      <c r="E45" s="12">
        <f t="shared" ref="E45:H45" si="37">AVERAGE(C45:D45)</f>
        <v>9.7833627097445169E-2</v>
      </c>
      <c r="F45" s="12">
        <f t="shared" si="37"/>
        <v>9.9000880277986009E-2</v>
      </c>
      <c r="G45" s="12">
        <f t="shared" si="37"/>
        <v>9.8417253687715589E-2</v>
      </c>
      <c r="H45" s="12">
        <f t="shared" si="37"/>
        <v>9.8709066982850799E-2</v>
      </c>
    </row>
    <row r="46" spans="1:9" x14ac:dyDescent="0.3">
      <c r="A46" t="s">
        <v>45</v>
      </c>
      <c r="B46" s="4">
        <v>2005</v>
      </c>
      <c r="C46" s="4">
        <v>1958</v>
      </c>
      <c r="D46" s="14">
        <f>D47*D2</f>
        <v>2079.0451787163729</v>
      </c>
      <c r="E46" s="14">
        <f t="shared" ref="E46:H46" si="38">E47*E2</f>
        <v>2209.3227810185008</v>
      </c>
      <c r="F46" s="14">
        <f t="shared" si="38"/>
        <v>2402.9435471403144</v>
      </c>
      <c r="G46" s="14">
        <f t="shared" si="38"/>
        <v>2609.8687040196796</v>
      </c>
      <c r="H46" s="14">
        <f t="shared" si="38"/>
        <v>2865.3256511238974</v>
      </c>
    </row>
    <row r="47" spans="1:9" x14ac:dyDescent="0.3">
      <c r="A47" s="15" t="s">
        <v>40</v>
      </c>
      <c r="B47" s="8">
        <f>B46/B2</f>
        <v>3.23930464004136E-2</v>
      </c>
      <c r="C47" s="8">
        <f>C46/C2</f>
        <v>3.1019787392468433E-2</v>
      </c>
      <c r="D47" s="12">
        <f>AVERAGE(B47:C47)</f>
        <v>3.170641689644102E-2</v>
      </c>
      <c r="E47" s="12">
        <f t="shared" ref="E47:H47" si="39">AVERAGE(C47:D47)</f>
        <v>3.136310214445473E-2</v>
      </c>
      <c r="F47" s="12">
        <f t="shared" si="39"/>
        <v>3.1534759520447875E-2</v>
      </c>
      <c r="G47" s="12">
        <f t="shared" si="39"/>
        <v>3.1448930832451302E-2</v>
      </c>
      <c r="H47" s="12">
        <f t="shared" si="39"/>
        <v>3.1491845176449589E-2</v>
      </c>
    </row>
    <row r="48" spans="1:9" x14ac:dyDescent="0.3">
      <c r="A48" t="s">
        <v>46</v>
      </c>
      <c r="B48" s="4">
        <v>1132</v>
      </c>
      <c r="C48" s="4">
        <v>1239</v>
      </c>
      <c r="D48" s="14">
        <f>D49*D2</f>
        <v>1243.1652294656017</v>
      </c>
      <c r="E48" s="14">
        <f t="shared" ref="E48:H48" si="40">E49*E2</f>
        <v>1359.1281851028875</v>
      </c>
      <c r="F48" s="14">
        <f t="shared" si="40"/>
        <v>1457.4272376073914</v>
      </c>
      <c r="G48" s="14">
        <f t="shared" si="40"/>
        <v>1594.2023752347234</v>
      </c>
      <c r="H48" s="14">
        <f t="shared" si="40"/>
        <v>1744.0489664896311</v>
      </c>
    </row>
    <row r="49" spans="1:9" x14ac:dyDescent="0.3">
      <c r="A49" s="15" t="s">
        <v>40</v>
      </c>
      <c r="B49" s="8">
        <f>B48/B2</f>
        <v>1.8288742406617552E-2</v>
      </c>
      <c r="C49" s="8">
        <f>C48/C2</f>
        <v>1.9628966587981814E-2</v>
      </c>
      <c r="D49" s="12">
        <f>AVERAGE(B49:C49)</f>
        <v>1.8958854497299685E-2</v>
      </c>
      <c r="E49" s="12">
        <f t="shared" ref="E49:H49" si="41">AVERAGE(C49:D49)</f>
        <v>1.9293910542640749E-2</v>
      </c>
      <c r="F49" s="12">
        <f t="shared" si="41"/>
        <v>1.9126382519970217E-2</v>
      </c>
      <c r="G49" s="12">
        <f t="shared" si="41"/>
        <v>1.9210146531305483E-2</v>
      </c>
      <c r="H49" s="12">
        <f t="shared" si="41"/>
        <v>1.916826452563785E-2</v>
      </c>
    </row>
    <row r="50" spans="1:9" x14ac:dyDescent="0.3">
      <c r="A50" s="15" t="s">
        <v>48</v>
      </c>
      <c r="B50" s="4">
        <v>784</v>
      </c>
      <c r="C50" s="4">
        <v>856</v>
      </c>
      <c r="D50" s="14">
        <f>D51*D2</f>
        <v>859.89687198003492</v>
      </c>
      <c r="E50" s="14">
        <f t="shared" ref="E50:H50" si="42">E51*E2</f>
        <v>939.5415896678187</v>
      </c>
      <c r="F50" s="14">
        <f t="shared" si="42"/>
        <v>1007.7952494359906</v>
      </c>
      <c r="G50" s="14">
        <f t="shared" si="42"/>
        <v>1102.208311086232</v>
      </c>
      <c r="H50" s="14">
        <f t="shared" si="42"/>
        <v>1205.900378622212</v>
      </c>
    </row>
    <row r="51" spans="1:9" x14ac:dyDescent="0.3">
      <c r="A51" s="15" t="s">
        <v>40</v>
      </c>
      <c r="B51" s="8">
        <f>B50/B2</f>
        <v>1.2666408168540777E-2</v>
      </c>
      <c r="C51" s="8">
        <f>C50/C2</f>
        <v>1.3561255366676701E-2</v>
      </c>
      <c r="D51" s="12">
        <f>AVERAGE(B51:C51)</f>
        <v>1.311383176760874E-2</v>
      </c>
      <c r="E51" s="12">
        <f t="shared" ref="E51:H51" si="43">AVERAGE(C51:D51)</f>
        <v>1.333754356714272E-2</v>
      </c>
      <c r="F51" s="12">
        <f t="shared" si="43"/>
        <v>1.3225687667375731E-2</v>
      </c>
      <c r="G51" s="12">
        <f t="shared" si="43"/>
        <v>1.3281615617259226E-2</v>
      </c>
      <c r="H51" s="12">
        <f t="shared" si="43"/>
        <v>1.3253651642317479E-2</v>
      </c>
    </row>
    <row r="52" spans="1:9" x14ac:dyDescent="0.3">
      <c r="A52" s="15" t="s">
        <v>49</v>
      </c>
      <c r="B52" s="4">
        <v>209</v>
      </c>
      <c r="C52" s="4">
        <v>344</v>
      </c>
      <c r="D52" s="14">
        <f>D53*D2</f>
        <v>289.38392858283811</v>
      </c>
      <c r="E52" s="14">
        <f t="shared" ref="E52:H52" si="44">E53*E2</f>
        <v>347.39472255315496</v>
      </c>
      <c r="F52" s="14">
        <f t="shared" si="44"/>
        <v>356.03561291076056</v>
      </c>
      <c r="G52" s="14">
        <f t="shared" si="44"/>
        <v>398.5035289154514</v>
      </c>
      <c r="H52" s="14">
        <f t="shared" si="44"/>
        <v>431.01848641303008</v>
      </c>
    </row>
    <row r="53" spans="1:9" x14ac:dyDescent="0.3">
      <c r="A53" s="15" t="s">
        <v>40</v>
      </c>
      <c r="B53" s="8">
        <f>B52/B2</f>
        <v>3.3766317694196718E-3</v>
      </c>
      <c r="C53" s="8">
        <f>C52/C2</f>
        <v>5.4498502875429729E-3</v>
      </c>
      <c r="D53" s="12">
        <f>AVERAGE(B53:C53)</f>
        <v>4.4132410284813224E-3</v>
      </c>
      <c r="E53" s="12">
        <f t="shared" ref="E53:H53" si="45">AVERAGE(C53:D53)</f>
        <v>4.9315456580121472E-3</v>
      </c>
      <c r="F53" s="12">
        <f t="shared" si="45"/>
        <v>4.6723933432467352E-3</v>
      </c>
      <c r="G53" s="12">
        <f t="shared" si="45"/>
        <v>4.8019695006294412E-3</v>
      </c>
      <c r="H53" s="12">
        <f t="shared" si="45"/>
        <v>4.7371814219380887E-3</v>
      </c>
      <c r="I53" s="12"/>
    </row>
    <row r="54" spans="1:9" x14ac:dyDescent="0.3">
      <c r="A54" s="15" t="s">
        <v>50</v>
      </c>
      <c r="B54" s="4">
        <v>446</v>
      </c>
      <c r="C54" s="4">
        <v>365</v>
      </c>
      <c r="D54" s="14">
        <f>D55*D2</f>
        <v>425.82882954766131</v>
      </c>
      <c r="E54" s="14">
        <f t="shared" ref="E54:H54" si="46">E55*E2</f>
        <v>432.40378991258478</v>
      </c>
      <c r="F54" s="14">
        <f t="shared" si="46"/>
        <v>481.29368867485675</v>
      </c>
      <c r="G54" s="14">
        <f t="shared" si="46"/>
        <v>516.78488730395884</v>
      </c>
      <c r="H54" s="14">
        <f t="shared" si="46"/>
        <v>570.64152909585118</v>
      </c>
    </row>
    <row r="55" spans="1:9" x14ac:dyDescent="0.3">
      <c r="A55" s="15" t="s">
        <v>40</v>
      </c>
      <c r="B55" s="8">
        <f>B54/B2</f>
        <v>7.2056352591443711E-3</v>
      </c>
      <c r="C55" s="8">
        <f>C54/C2</f>
        <v>5.7825446364918173E-3</v>
      </c>
      <c r="D55" s="12">
        <f>AVERAGE(B55:C55)</f>
        <v>6.4940899478180946E-3</v>
      </c>
      <c r="E55" s="12">
        <f t="shared" ref="E55:H55" si="47">AVERAGE(C55:D55)</f>
        <v>6.1383172921549555E-3</v>
      </c>
      <c r="F55" s="12">
        <f t="shared" si="47"/>
        <v>6.3162036199865251E-3</v>
      </c>
      <c r="G55" s="12">
        <f t="shared" si="47"/>
        <v>6.2272604560707403E-3</v>
      </c>
      <c r="H55" s="12">
        <f t="shared" si="47"/>
        <v>6.2717320380286327E-3</v>
      </c>
    </row>
    <row r="56" spans="1:9" x14ac:dyDescent="0.3">
      <c r="A56" s="15" t="s">
        <v>51</v>
      </c>
      <c r="B56" s="4">
        <v>81</v>
      </c>
      <c r="C56" s="4">
        <v>54</v>
      </c>
      <c r="D56" s="14">
        <f>D57*D2</f>
        <v>70.953435015732538</v>
      </c>
      <c r="E56" s="14">
        <f t="shared" ref="E56:H56" si="48">E57*E2</f>
        <v>68.24459164439503</v>
      </c>
      <c r="F56" s="14">
        <f t="shared" si="48"/>
        <v>78.137590278431077</v>
      </c>
      <c r="G56" s="14">
        <f t="shared" si="48"/>
        <v>82.747533928874375</v>
      </c>
      <c r="H56" s="14">
        <f t="shared" si="48"/>
        <v>92.011601723138781</v>
      </c>
    </row>
    <row r="57" spans="1:9" x14ac:dyDescent="0.3">
      <c r="A57" s="15" t="s">
        <v>40</v>
      </c>
      <c r="B57" s="8">
        <f>B56/B2</f>
        <v>1.3086467623109731E-3</v>
      </c>
      <c r="C57" s="8">
        <f>C56/C2</f>
        <v>8.5549975443988526E-4</v>
      </c>
      <c r="D57" s="12">
        <f>AVERAGE(B57:C57)</f>
        <v>1.0820732583754291E-3</v>
      </c>
      <c r="E57" s="12">
        <f t="shared" ref="E57:H57" si="49">AVERAGE(C57:D57)</f>
        <v>9.6878650640765725E-4</v>
      </c>
      <c r="F57" s="12">
        <f t="shared" si="49"/>
        <v>1.0254298823915431E-3</v>
      </c>
      <c r="G57" s="12">
        <f t="shared" si="49"/>
        <v>9.9710819439960017E-4</v>
      </c>
      <c r="H57" s="12">
        <f t="shared" si="49"/>
        <v>1.0112690383955716E-3</v>
      </c>
    </row>
    <row r="58" spans="1:9" x14ac:dyDescent="0.3">
      <c r="A58" s="15" t="s">
        <v>52</v>
      </c>
      <c r="B58" s="4">
        <v>282</v>
      </c>
      <c r="C58" s="4">
        <v>225</v>
      </c>
      <c r="D58" s="14">
        <f>D59*D2</f>
        <v>266.24135458765392</v>
      </c>
      <c r="E58" s="14">
        <f t="shared" ref="E58:H58" si="50">E59*E2</f>
        <v>268.56143127359167</v>
      </c>
      <c r="F58" s="14">
        <f t="shared" si="50"/>
        <v>299.95113444205401</v>
      </c>
      <c r="G58" s="14">
        <f t="shared" si="50"/>
        <v>321.52763086780891</v>
      </c>
      <c r="H58" s="14">
        <f t="shared" si="50"/>
        <v>355.33709088596322</v>
      </c>
    </row>
    <row r="59" spans="1:9" ht="18.600000000000001" customHeight="1" x14ac:dyDescent="0.3">
      <c r="A59" s="15" t="s">
        <v>40</v>
      </c>
      <c r="B59" s="8">
        <f>B58/B2</f>
        <v>4.5560294687863514E-3</v>
      </c>
      <c r="C59" s="8">
        <f>C58/C2</f>
        <v>3.5645823101661889E-3</v>
      </c>
      <c r="D59" s="12">
        <f>AVERAGE(B59:C59)</f>
        <v>4.0603058894762706E-3</v>
      </c>
      <c r="E59" s="12">
        <f t="shared" ref="E59:H59" si="51">AVERAGE(C59:D59)</f>
        <v>3.8124440998212297E-3</v>
      </c>
      <c r="F59" s="12">
        <f t="shared" si="51"/>
        <v>3.9363749946487499E-3</v>
      </c>
      <c r="G59" s="12">
        <f t="shared" si="51"/>
        <v>3.8744095472349896E-3</v>
      </c>
      <c r="H59" s="12">
        <f t="shared" si="51"/>
        <v>3.9053922709418698E-3</v>
      </c>
    </row>
    <row r="60" spans="1:9" ht="16.8" customHeight="1" x14ac:dyDescent="0.3">
      <c r="A60" s="15" t="s">
        <v>53</v>
      </c>
      <c r="B60" s="4">
        <v>227</v>
      </c>
      <c r="C60" s="4">
        <v>216</v>
      </c>
      <c r="D60" s="14">
        <f>D61*D2</f>
        <v>232.43352521867527</v>
      </c>
      <c r="E60" s="14">
        <f t="shared" ref="E60:H60" si="52">E61*E2</f>
        <v>245.37962262434402</v>
      </c>
      <c r="F60" s="14">
        <f t="shared" si="52"/>
        <v>267.76929150435501</v>
      </c>
      <c r="G60" s="14">
        <f t="shared" si="52"/>
        <v>290.34842817058581</v>
      </c>
      <c r="H60" s="14">
        <f t="shared" si="52"/>
        <v>319.03155018690649</v>
      </c>
    </row>
    <row r="61" spans="1:9" x14ac:dyDescent="0.3">
      <c r="A61" s="15" t="s">
        <v>40</v>
      </c>
      <c r="B61" s="8">
        <f>B60/B2</f>
        <v>3.6674421610443323E-3</v>
      </c>
      <c r="C61" s="8">
        <f>C60/C2</f>
        <v>3.421999017759541E-3</v>
      </c>
      <c r="D61" s="12">
        <f>AVERAGE(B61:C61)</f>
        <v>3.5447205894019364E-3</v>
      </c>
      <c r="E61" s="12">
        <f t="shared" ref="E61:H61" si="53">AVERAGE(C61:D61)</f>
        <v>3.4833598035807385E-3</v>
      </c>
      <c r="F61" s="12">
        <f t="shared" si="53"/>
        <v>3.5140401964913375E-3</v>
      </c>
      <c r="G61" s="12">
        <f t="shared" si="53"/>
        <v>3.498700000036038E-3</v>
      </c>
      <c r="H61" s="12">
        <f t="shared" si="53"/>
        <v>3.506370098263688E-3</v>
      </c>
    </row>
    <row r="62" spans="1:9" x14ac:dyDescent="0.3">
      <c r="A62" s="15" t="s">
        <v>54</v>
      </c>
      <c r="B62" s="4">
        <v>239</v>
      </c>
      <c r="C62" s="4">
        <v>254</v>
      </c>
      <c r="D62" s="14">
        <f>D63*D2</f>
        <v>258.52753808550443</v>
      </c>
      <c r="E62" s="14">
        <f t="shared" ref="E62:H62" si="54">E63*E2</f>
        <v>280.60005351301845</v>
      </c>
      <c r="F62" s="14">
        <f t="shared" si="54"/>
        <v>301.98028016711362</v>
      </c>
      <c r="G62" s="14">
        <f t="shared" si="54"/>
        <v>329.72377386124936</v>
      </c>
      <c r="H62" s="14">
        <f t="shared" si="54"/>
        <v>361.04160405417713</v>
      </c>
    </row>
    <row r="63" spans="1:9" x14ac:dyDescent="0.3">
      <c r="A63" s="15" t="s">
        <v>40</v>
      </c>
      <c r="B63" s="8">
        <f>B62/B2</f>
        <v>3.8613157554607731E-3</v>
      </c>
      <c r="C63" s="8">
        <f>C62/C2</f>
        <v>4.0240173634764976E-3</v>
      </c>
      <c r="D63" s="12">
        <f>AVERAGE(B63:C63)</f>
        <v>3.9426665594686355E-3</v>
      </c>
      <c r="E63" s="12">
        <f t="shared" ref="E63:H63" si="55">AVERAGE(C63:D63)</f>
        <v>3.9833419614725661E-3</v>
      </c>
      <c r="F63" s="12">
        <f t="shared" si="55"/>
        <v>3.9630042604706008E-3</v>
      </c>
      <c r="G63" s="12">
        <f t="shared" si="55"/>
        <v>3.9731731109715835E-3</v>
      </c>
      <c r="H63" s="12">
        <f t="shared" si="55"/>
        <v>3.9680886857210926E-3</v>
      </c>
    </row>
    <row r="64" spans="1:9" x14ac:dyDescent="0.3">
      <c r="A64" s="15" t="s">
        <v>55</v>
      </c>
      <c r="B64" s="4">
        <v>2570</v>
      </c>
      <c r="C64" s="4">
        <v>2625</v>
      </c>
      <c r="D64" s="14">
        <f>D65*D2</f>
        <v>2724.7702225480903</v>
      </c>
      <c r="E64" s="14">
        <f t="shared" ref="E64:H64" si="56">E65*E2</f>
        <v>2928.3600420441712</v>
      </c>
      <c r="F64" s="14">
        <f t="shared" si="56"/>
        <v>3167.0343335894686</v>
      </c>
      <c r="G64" s="14">
        <f t="shared" si="56"/>
        <v>3449.4852869388383</v>
      </c>
      <c r="H64" s="14">
        <f t="shared" si="56"/>
        <v>3781.7777768853734</v>
      </c>
    </row>
    <row r="65" spans="1:8" x14ac:dyDescent="0.3">
      <c r="A65" s="15" t="s">
        <v>40</v>
      </c>
      <c r="B65" s="8">
        <f>B64/B2</f>
        <v>4.1521261470854338E-2</v>
      </c>
      <c r="C65" s="8">
        <f>C64/C2</f>
        <v>4.1586793618605539E-2</v>
      </c>
      <c r="D65" s="12">
        <f>AVERAGE(B65:C65)</f>
        <v>4.1554027544729935E-2</v>
      </c>
      <c r="E65" s="12">
        <f t="shared" ref="E65:H65" si="57">AVERAGE(C65:D65)</f>
        <v>4.1570410581667737E-2</v>
      </c>
      <c r="F65" s="12">
        <f t="shared" si="57"/>
        <v>4.1562219063198833E-2</v>
      </c>
      <c r="G65" s="12">
        <f t="shared" si="57"/>
        <v>4.1566314822433281E-2</v>
      </c>
      <c r="H65" s="12">
        <f t="shared" si="57"/>
        <v>4.1564266942816057E-2</v>
      </c>
    </row>
    <row r="66" spans="1:8" x14ac:dyDescent="0.3">
      <c r="A66" s="19" t="s">
        <v>26</v>
      </c>
      <c r="B66" s="4">
        <f>B11</f>
        <v>-3644</v>
      </c>
      <c r="C66" s="4">
        <f>C11</f>
        <v>-3744</v>
      </c>
      <c r="D66" s="4">
        <f>D67*-IS!D17</f>
        <v>-3890.7395504780716</v>
      </c>
      <c r="E66" s="4">
        <f>E67*-IS!E17</f>
        <v>-4159.7426292383734</v>
      </c>
      <c r="F66" s="4">
        <f>F67*-IS!F17</f>
        <v>-4444.1684812206213</v>
      </c>
      <c r="G66" s="4">
        <f>G67*-IS!G17</f>
        <v>-4781.9331230080115</v>
      </c>
      <c r="H66" s="4">
        <f>H67*-IS!H17</f>
        <v>-5155.6860744703854</v>
      </c>
    </row>
    <row r="67" spans="1:8" x14ac:dyDescent="0.3">
      <c r="A67" s="15" t="s">
        <v>56</v>
      </c>
      <c r="B67" s="6">
        <f>B66/-IS!B17</f>
        <v>0.26166882091052707</v>
      </c>
      <c r="C67" s="6">
        <f>C66/-IS!C17</f>
        <v>0.25971143174250833</v>
      </c>
      <c r="D67" s="13">
        <f>C67</f>
        <v>0.25971143174250833</v>
      </c>
      <c r="E67" s="13">
        <f t="shared" ref="E67:H67" si="58">D67</f>
        <v>0.25971143174250833</v>
      </c>
      <c r="F67" s="13">
        <f t="shared" si="58"/>
        <v>0.25971143174250833</v>
      </c>
      <c r="G67" s="13">
        <f t="shared" si="58"/>
        <v>0.25971143174250833</v>
      </c>
      <c r="H67" s="13">
        <f t="shared" si="58"/>
        <v>0.25971143174250833</v>
      </c>
    </row>
    <row r="68" spans="1:8" x14ac:dyDescent="0.3">
      <c r="A68" s="15" t="s">
        <v>27</v>
      </c>
      <c r="B68" s="4">
        <f>B12</f>
        <v>-3521</v>
      </c>
      <c r="C68" s="4">
        <f>C12</f>
        <v>-3620</v>
      </c>
      <c r="D68" s="4">
        <f>D69*D66</f>
        <v>-3761.8795867336057</v>
      </c>
      <c r="E68" s="4">
        <f t="shared" ref="E68:H68" si="59">E69*E66</f>
        <v>-4021.9733754922308</v>
      </c>
      <c r="F68" s="4">
        <f t="shared" si="59"/>
        <v>-4296.9791404964344</v>
      </c>
      <c r="G68" s="4">
        <f t="shared" si="59"/>
        <v>-4623.5571328229171</v>
      </c>
      <c r="H68" s="4">
        <f t="shared" si="59"/>
        <v>-4984.9315143116437</v>
      </c>
    </row>
    <row r="69" spans="1:8" x14ac:dyDescent="0.3">
      <c r="A69" s="15" t="s">
        <v>57</v>
      </c>
      <c r="B69" s="8">
        <f>B68/B66</f>
        <v>0.96624588364434683</v>
      </c>
      <c r="C69" s="8">
        <f>C68/C66</f>
        <v>0.96688034188034189</v>
      </c>
      <c r="D69" s="12">
        <f>C69</f>
        <v>0.96688034188034189</v>
      </c>
      <c r="E69" s="12">
        <f t="shared" ref="E69:H69" si="60">D69</f>
        <v>0.96688034188034189</v>
      </c>
      <c r="F69" s="12">
        <f t="shared" si="60"/>
        <v>0.96688034188034189</v>
      </c>
      <c r="G69" s="12">
        <f t="shared" si="60"/>
        <v>0.96688034188034189</v>
      </c>
      <c r="H69" s="12">
        <f t="shared" si="60"/>
        <v>0.96688034188034189</v>
      </c>
    </row>
    <row r="70" spans="1:8" x14ac:dyDescent="0.3">
      <c r="A70" s="15" t="s">
        <v>58</v>
      </c>
      <c r="B70" s="4">
        <f>B13</f>
        <v>-123</v>
      </c>
      <c r="C70" s="4">
        <f>C13</f>
        <v>-124</v>
      </c>
      <c r="D70" s="4">
        <f>D71*D66</f>
        <v>-128.85996374446606</v>
      </c>
      <c r="E70" s="4">
        <f t="shared" ref="E70:H70" si="61">E71*E66</f>
        <v>-137.76925374614271</v>
      </c>
      <c r="F70" s="4">
        <f t="shared" si="61"/>
        <v>-147.18934072418725</v>
      </c>
      <c r="G70" s="4">
        <f t="shared" si="61"/>
        <v>-158.37599018509439</v>
      </c>
      <c r="H70" s="4">
        <f t="shared" si="61"/>
        <v>-170.75456015874138</v>
      </c>
    </row>
    <row r="71" spans="1:8" x14ac:dyDescent="0.3">
      <c r="A71" s="15" t="s">
        <v>57</v>
      </c>
      <c r="B71" s="8">
        <f>B70/B66</f>
        <v>3.3754116355653126E-2</v>
      </c>
      <c r="C71" s="8">
        <f>C70/C66</f>
        <v>3.311965811965812E-2</v>
      </c>
      <c r="D71" s="12">
        <f>C71</f>
        <v>3.311965811965812E-2</v>
      </c>
      <c r="E71" s="12">
        <f t="shared" ref="E71:H71" si="62">D71</f>
        <v>3.311965811965812E-2</v>
      </c>
      <c r="F71" s="12">
        <f t="shared" si="62"/>
        <v>3.311965811965812E-2</v>
      </c>
      <c r="G71" s="12">
        <f t="shared" si="62"/>
        <v>3.311965811965812E-2</v>
      </c>
      <c r="H71" s="12">
        <f t="shared" si="62"/>
        <v>3.311965811965812E-2</v>
      </c>
    </row>
    <row r="74" spans="1:8" ht="15.6" x14ac:dyDescent="0.3">
      <c r="A74" s="36" t="s">
        <v>154</v>
      </c>
      <c r="B74" s="2">
        <v>2024</v>
      </c>
      <c r="C74" s="2">
        <f>B74+1</f>
        <v>2025</v>
      </c>
      <c r="D74" s="3">
        <f>C74+1</f>
        <v>2026</v>
      </c>
      <c r="E74" s="3">
        <f>D74+1</f>
        <v>2027</v>
      </c>
      <c r="F74" s="3">
        <f t="shared" ref="F74:H74" si="63">E74+1</f>
        <v>2028</v>
      </c>
      <c r="G74" s="3">
        <f t="shared" si="63"/>
        <v>2029</v>
      </c>
      <c r="H74" s="3">
        <f t="shared" si="63"/>
        <v>2030</v>
      </c>
    </row>
    <row r="75" spans="1:8" x14ac:dyDescent="0.3">
      <c r="A75" t="s">
        <v>155</v>
      </c>
      <c r="B75" s="10">
        <f>BS!B5</f>
        <v>1025</v>
      </c>
      <c r="C75" s="10">
        <f>BS!C5</f>
        <v>1009</v>
      </c>
      <c r="D75" s="14">
        <f>C75</f>
        <v>1009</v>
      </c>
      <c r="E75" s="14">
        <f t="shared" ref="E75:H75" si="64">D75</f>
        <v>1009</v>
      </c>
      <c r="F75" s="14">
        <f t="shared" si="64"/>
        <v>1009</v>
      </c>
      <c r="G75" s="14">
        <f t="shared" si="64"/>
        <v>1009</v>
      </c>
      <c r="H75" s="14">
        <f t="shared" si="64"/>
        <v>1009</v>
      </c>
    </row>
    <row r="76" spans="1:8" x14ac:dyDescent="0.3">
      <c r="A76" t="s">
        <v>64</v>
      </c>
      <c r="B76" s="10">
        <f>BS!B6</f>
        <v>17466</v>
      </c>
      <c r="C76" s="10">
        <f>BS!C6</f>
        <v>17466</v>
      </c>
      <c r="D76" s="14">
        <f t="shared" ref="D76:H87" si="65">C76</f>
        <v>17466</v>
      </c>
      <c r="E76" s="14">
        <f t="shared" si="65"/>
        <v>17466</v>
      </c>
      <c r="F76" s="14">
        <f t="shared" si="65"/>
        <v>17466</v>
      </c>
      <c r="G76" s="14">
        <f t="shared" si="65"/>
        <v>17466</v>
      </c>
      <c r="H76" s="14">
        <f t="shared" si="65"/>
        <v>17466</v>
      </c>
    </row>
    <row r="77" spans="1:8" x14ac:dyDescent="0.3">
      <c r="A77" t="s">
        <v>156</v>
      </c>
      <c r="B77" s="10">
        <f>BS!B8</f>
        <v>65</v>
      </c>
      <c r="C77" s="10">
        <f>BS!C8</f>
        <v>57</v>
      </c>
      <c r="D77" s="14">
        <f t="shared" si="65"/>
        <v>57</v>
      </c>
      <c r="E77" s="14">
        <f t="shared" si="65"/>
        <v>57</v>
      </c>
      <c r="F77" s="14">
        <f t="shared" si="65"/>
        <v>57</v>
      </c>
      <c r="G77" s="14">
        <f t="shared" si="65"/>
        <v>57</v>
      </c>
      <c r="H77" s="14">
        <f t="shared" si="65"/>
        <v>57</v>
      </c>
    </row>
    <row r="78" spans="1:8" x14ac:dyDescent="0.3">
      <c r="A78" t="s">
        <v>68</v>
      </c>
      <c r="B78" s="10">
        <f>BS!B10</f>
        <v>102</v>
      </c>
      <c r="C78" s="10">
        <f>BS!C10</f>
        <v>87</v>
      </c>
      <c r="D78" s="14">
        <f t="shared" si="65"/>
        <v>87</v>
      </c>
      <c r="E78" s="14">
        <f t="shared" si="65"/>
        <v>87</v>
      </c>
      <c r="F78" s="14">
        <f t="shared" si="65"/>
        <v>87</v>
      </c>
      <c r="G78" s="14">
        <f t="shared" si="65"/>
        <v>87</v>
      </c>
      <c r="H78" s="14">
        <f t="shared" si="65"/>
        <v>87</v>
      </c>
    </row>
    <row r="79" spans="1:8" x14ac:dyDescent="0.3">
      <c r="A79" t="s">
        <v>69</v>
      </c>
      <c r="B79" s="10">
        <f>BS!B11</f>
        <v>760</v>
      </c>
      <c r="C79" s="10">
        <f>BS!C11</f>
        <v>763</v>
      </c>
      <c r="D79" s="14">
        <f t="shared" si="65"/>
        <v>763</v>
      </c>
      <c r="E79" s="14">
        <f t="shared" si="65"/>
        <v>763</v>
      </c>
      <c r="F79" s="14">
        <f t="shared" si="65"/>
        <v>763</v>
      </c>
      <c r="G79" s="14">
        <f t="shared" si="65"/>
        <v>763</v>
      </c>
      <c r="H79" s="14">
        <f t="shared" si="65"/>
        <v>763</v>
      </c>
    </row>
    <row r="80" spans="1:8" x14ac:dyDescent="0.3">
      <c r="A80" t="s">
        <v>157</v>
      </c>
      <c r="B80" s="10">
        <f>BS!B12</f>
        <v>10</v>
      </c>
      <c r="C80" s="10">
        <f>BS!C12</f>
        <v>17</v>
      </c>
      <c r="D80" s="14">
        <f t="shared" si="65"/>
        <v>17</v>
      </c>
      <c r="E80" s="14">
        <f t="shared" si="65"/>
        <v>17</v>
      </c>
      <c r="F80" s="14">
        <f t="shared" si="65"/>
        <v>17</v>
      </c>
      <c r="G80" s="14">
        <f t="shared" si="65"/>
        <v>17</v>
      </c>
      <c r="H80" s="14">
        <f t="shared" si="65"/>
        <v>17</v>
      </c>
    </row>
    <row r="81" spans="1:8" x14ac:dyDescent="0.3">
      <c r="A81" t="s">
        <v>71</v>
      </c>
      <c r="B81" s="10">
        <f>BS!B13</f>
        <v>1175</v>
      </c>
      <c r="C81" s="10">
        <f>BS!C13</f>
        <v>1199</v>
      </c>
      <c r="D81" s="14">
        <f t="shared" si="65"/>
        <v>1199</v>
      </c>
      <c r="E81" s="14">
        <f t="shared" si="65"/>
        <v>1199</v>
      </c>
      <c r="F81" s="14">
        <f t="shared" si="65"/>
        <v>1199</v>
      </c>
      <c r="G81" s="14">
        <f t="shared" si="65"/>
        <v>1199</v>
      </c>
      <c r="H81" s="14">
        <f t="shared" si="65"/>
        <v>1199</v>
      </c>
    </row>
    <row r="82" spans="1:8" x14ac:dyDescent="0.3">
      <c r="A82" t="s">
        <v>72</v>
      </c>
      <c r="B82" s="10">
        <f>BS!B14</f>
        <v>292</v>
      </c>
      <c r="C82" s="10">
        <f>BS!C14</f>
        <v>360</v>
      </c>
      <c r="D82" s="14">
        <f t="shared" si="65"/>
        <v>360</v>
      </c>
      <c r="E82" s="14">
        <f t="shared" si="65"/>
        <v>360</v>
      </c>
      <c r="F82" s="14">
        <f t="shared" si="65"/>
        <v>360</v>
      </c>
      <c r="G82" s="14">
        <f t="shared" si="65"/>
        <v>360</v>
      </c>
      <c r="H82" s="14">
        <f t="shared" si="65"/>
        <v>360</v>
      </c>
    </row>
    <row r="83" spans="1:8" x14ac:dyDescent="0.3">
      <c r="A83" t="s">
        <v>89</v>
      </c>
      <c r="B83" s="10">
        <f>BS!B34</f>
        <v>718</v>
      </c>
      <c r="C83" s="10">
        <f>BS!C34</f>
        <v>680</v>
      </c>
      <c r="D83" s="14">
        <f t="shared" si="65"/>
        <v>680</v>
      </c>
      <c r="E83" s="14">
        <f t="shared" si="65"/>
        <v>680</v>
      </c>
      <c r="F83" s="14">
        <f t="shared" si="65"/>
        <v>680</v>
      </c>
      <c r="G83" s="14">
        <f t="shared" si="65"/>
        <v>680</v>
      </c>
      <c r="H83" s="14">
        <f t="shared" si="65"/>
        <v>680</v>
      </c>
    </row>
    <row r="84" spans="1:8" x14ac:dyDescent="0.3">
      <c r="A84" t="s">
        <v>90</v>
      </c>
      <c r="B84" s="10">
        <f>BS!B35</f>
        <v>1576</v>
      </c>
      <c r="C84" s="10">
        <f>BS!C35</f>
        <v>1528</v>
      </c>
      <c r="D84" s="14">
        <f t="shared" si="65"/>
        <v>1528</v>
      </c>
      <c r="E84" s="14">
        <f t="shared" si="65"/>
        <v>1528</v>
      </c>
      <c r="F84" s="14">
        <f t="shared" si="65"/>
        <v>1528</v>
      </c>
      <c r="G84" s="14">
        <f t="shared" si="65"/>
        <v>1528</v>
      </c>
      <c r="H84" s="14">
        <f t="shared" si="65"/>
        <v>1528</v>
      </c>
    </row>
    <row r="85" spans="1:8" x14ac:dyDescent="0.3">
      <c r="A85" t="s">
        <v>91</v>
      </c>
      <c r="B85" s="10">
        <f>BS!B36</f>
        <v>6557</v>
      </c>
      <c r="C85" s="10">
        <f>BS!C36</f>
        <v>6685</v>
      </c>
      <c r="D85" s="14">
        <f t="shared" si="65"/>
        <v>6685</v>
      </c>
      <c r="E85" s="14">
        <f t="shared" si="65"/>
        <v>6685</v>
      </c>
      <c r="F85" s="14">
        <f t="shared" si="65"/>
        <v>6685</v>
      </c>
      <c r="G85" s="14">
        <f t="shared" si="65"/>
        <v>6685</v>
      </c>
      <c r="H85" s="14">
        <f t="shared" si="65"/>
        <v>6685</v>
      </c>
    </row>
    <row r="86" spans="1:8" x14ac:dyDescent="0.3">
      <c r="A86" t="s">
        <v>158</v>
      </c>
      <c r="B86" s="10">
        <f>BS!B37</f>
        <v>4243</v>
      </c>
      <c r="C86" s="10">
        <f>BS!C37</f>
        <v>3598</v>
      </c>
      <c r="D86" s="14">
        <f t="shared" si="65"/>
        <v>3598</v>
      </c>
      <c r="E86" s="14">
        <f t="shared" si="65"/>
        <v>3598</v>
      </c>
      <c r="F86" s="14">
        <f t="shared" si="65"/>
        <v>3598</v>
      </c>
      <c r="G86" s="14">
        <f t="shared" si="65"/>
        <v>3598</v>
      </c>
      <c r="H86" s="14">
        <f t="shared" si="65"/>
        <v>3598</v>
      </c>
    </row>
    <row r="87" spans="1:8" x14ac:dyDescent="0.3">
      <c r="D87" s="14"/>
    </row>
  </sheetData>
  <pageMargins left="0.7" right="0.7" top="0.75" bottom="0.75" header="0.3" footer="0.3"/>
  <pageSetup orientation="portrait" r:id="rId1"/>
  <ignoredErrors>
    <ignoredError sqref="E17 E19:H19 F17:H17 E21:H21 E22:H22 D64:H64 D62:H62 D60:H60 D58:H58 D56:H56 D54:H54 D52:H52 D50:H50 D48:H48 D46:H46 D70:H70 D68:H6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21FD-8691-4C01-A065-464281C5A78F}">
  <dimension ref="A1:H47"/>
  <sheetViews>
    <sheetView topLeftCell="A16" zoomScale="81" zoomScaleNormal="100" workbookViewId="0">
      <selection activeCell="E31" sqref="E31"/>
    </sheetView>
  </sheetViews>
  <sheetFormatPr defaultRowHeight="14.4" x14ac:dyDescent="0.3"/>
  <cols>
    <col min="1" max="1" width="41.77734375" customWidth="1"/>
    <col min="2" max="2" width="12.5546875" customWidth="1"/>
    <col min="3" max="3" width="14" customWidth="1"/>
    <col min="4" max="4" width="12.5546875" customWidth="1"/>
    <col min="5" max="5" width="13.88671875" customWidth="1"/>
    <col min="6" max="6" width="12.6640625" customWidth="1"/>
    <col min="7" max="7" width="13.109375" customWidth="1"/>
    <col min="8" max="8" width="13.77734375" customWidth="1"/>
  </cols>
  <sheetData>
    <row r="1" spans="1:8" x14ac:dyDescent="0.3">
      <c r="A1" s="22" t="s">
        <v>59</v>
      </c>
      <c r="B1" s="24">
        <v>2024</v>
      </c>
      <c r="C1" s="24">
        <f>B1+1</f>
        <v>2025</v>
      </c>
      <c r="D1" s="25">
        <v>2026</v>
      </c>
      <c r="E1" s="25">
        <f>D1+1</f>
        <v>2027</v>
      </c>
      <c r="F1" s="25">
        <f t="shared" ref="F1:H1" si="0">E1+1</f>
        <v>2028</v>
      </c>
      <c r="G1" s="25">
        <f t="shared" si="0"/>
        <v>2029</v>
      </c>
      <c r="H1" s="25">
        <f t="shared" si="0"/>
        <v>2030</v>
      </c>
    </row>
    <row r="2" spans="1:8" x14ac:dyDescent="0.3">
      <c r="A2" s="22" t="s">
        <v>60</v>
      </c>
    </row>
    <row r="3" spans="1:8" x14ac:dyDescent="0.3">
      <c r="A3" s="23" t="s">
        <v>61</v>
      </c>
    </row>
    <row r="4" spans="1:8" x14ac:dyDescent="0.3">
      <c r="A4" t="s">
        <v>62</v>
      </c>
      <c r="B4" s="4">
        <v>8031</v>
      </c>
      <c r="C4" s="4">
        <v>8625</v>
      </c>
      <c r="D4" s="4">
        <f>'CAPEX Schedule '!D2</f>
        <v>7887.5505398156811</v>
      </c>
      <c r="E4" s="4">
        <f>'CAPEX Schedule '!E2</f>
        <v>7111.7964052471152</v>
      </c>
      <c r="F4" s="4">
        <f>'CAPEX Schedule '!F2</f>
        <v>6296.5388611612561</v>
      </c>
      <c r="G4" s="4">
        <f>'CAPEX Schedule '!G2</f>
        <v>5440.5416583111191</v>
      </c>
      <c r="H4" s="4">
        <f>'CAPEX Schedule '!H2</f>
        <v>4542.5298593410389</v>
      </c>
    </row>
    <row r="5" spans="1:8" x14ac:dyDescent="0.3">
      <c r="A5" t="s">
        <v>63</v>
      </c>
      <c r="B5" s="4">
        <v>1025</v>
      </c>
      <c r="C5" s="4">
        <v>1009</v>
      </c>
      <c r="D5" s="4">
        <f>Assumption!D75</f>
        <v>1009</v>
      </c>
      <c r="E5" s="4">
        <f>Assumption!E75</f>
        <v>1009</v>
      </c>
      <c r="F5" s="4">
        <f>Assumption!F75</f>
        <v>1009</v>
      </c>
      <c r="G5" s="4">
        <f>Assumption!G75</f>
        <v>1009</v>
      </c>
      <c r="H5" s="4">
        <f>Assumption!H75</f>
        <v>1009</v>
      </c>
    </row>
    <row r="6" spans="1:8" x14ac:dyDescent="0.3">
      <c r="A6" t="s">
        <v>64</v>
      </c>
      <c r="B6" s="4">
        <v>17466</v>
      </c>
      <c r="C6" s="4">
        <v>17466</v>
      </c>
      <c r="D6" s="4">
        <f>Assumption!D76</f>
        <v>17466</v>
      </c>
      <c r="E6" s="4">
        <f>Assumption!E76</f>
        <v>17466</v>
      </c>
      <c r="F6" s="4">
        <f>Assumption!F76</f>
        <v>17466</v>
      </c>
      <c r="G6" s="4">
        <f>Assumption!G76</f>
        <v>17466</v>
      </c>
      <c r="H6" s="4">
        <f>Assumption!H76</f>
        <v>17466</v>
      </c>
    </row>
    <row r="7" spans="1:8" x14ac:dyDescent="0.3">
      <c r="A7" t="s">
        <v>65</v>
      </c>
      <c r="B7" s="4">
        <v>28247</v>
      </c>
      <c r="C7" s="4">
        <v>28243</v>
      </c>
      <c r="D7" s="4">
        <f>'CAPEX Schedule '!D5</f>
        <v>29422.397702597362</v>
      </c>
      <c r="E7" s="4">
        <f>'CAPEX Schedule '!E5</f>
        <v>30638.283364452858</v>
      </c>
      <c r="F7" s="4">
        <f>'CAPEX Schedule '!F5</f>
        <v>31891.798867057438</v>
      </c>
      <c r="G7" s="4">
        <f>'CAPEX Schedule '!G5</f>
        <v>33184.121826795563</v>
      </c>
      <c r="H7" s="4">
        <f>'CAPEX Schedule '!H5</f>
        <v>34516.466713259739</v>
      </c>
    </row>
    <row r="8" spans="1:8" x14ac:dyDescent="0.3">
      <c r="A8" t="s">
        <v>66</v>
      </c>
      <c r="B8" s="4">
        <v>65</v>
      </c>
      <c r="C8" s="4">
        <v>57</v>
      </c>
      <c r="D8" s="14">
        <f>Assumption!D77</f>
        <v>57</v>
      </c>
      <c r="E8" s="14">
        <f>Assumption!E77</f>
        <v>57</v>
      </c>
      <c r="F8" s="14">
        <f>Assumption!F77</f>
        <v>57</v>
      </c>
      <c r="G8" s="14">
        <f>Assumption!G77</f>
        <v>57</v>
      </c>
      <c r="H8" s="14">
        <f>Assumption!H77</f>
        <v>57</v>
      </c>
    </row>
    <row r="9" spans="1:8" x14ac:dyDescent="0.3">
      <c r="A9" t="s">
        <v>67</v>
      </c>
      <c r="B9" s="4">
        <v>2</v>
      </c>
      <c r="C9" s="4">
        <v>2</v>
      </c>
      <c r="D9" s="4">
        <v>2</v>
      </c>
      <c r="E9" s="4">
        <v>2</v>
      </c>
      <c r="F9" s="4">
        <v>2</v>
      </c>
      <c r="G9" s="4">
        <v>2</v>
      </c>
      <c r="H9" s="4">
        <v>2</v>
      </c>
    </row>
    <row r="10" spans="1:8" x14ac:dyDescent="0.3">
      <c r="A10" t="s">
        <v>68</v>
      </c>
      <c r="B10" s="4">
        <v>102</v>
      </c>
      <c r="C10" s="4">
        <v>87</v>
      </c>
      <c r="D10" s="14">
        <f>Assumption!D78</f>
        <v>87</v>
      </c>
      <c r="E10" s="14">
        <f>Assumption!E78</f>
        <v>87</v>
      </c>
      <c r="F10" s="14">
        <f>Assumption!F78</f>
        <v>87</v>
      </c>
      <c r="G10" s="14">
        <f>Assumption!G78</f>
        <v>87</v>
      </c>
      <c r="H10" s="14">
        <f>Assumption!H78</f>
        <v>87</v>
      </c>
    </row>
    <row r="11" spans="1:8" x14ac:dyDescent="0.3">
      <c r="A11" s="88" t="s">
        <v>69</v>
      </c>
      <c r="B11" s="4">
        <v>760</v>
      </c>
      <c r="C11" s="4">
        <v>763</v>
      </c>
      <c r="D11" s="14">
        <f>Assumption!D79</f>
        <v>763</v>
      </c>
      <c r="E11" s="14">
        <f>Assumption!E79</f>
        <v>763</v>
      </c>
      <c r="F11" s="14">
        <f>Assumption!F79</f>
        <v>763</v>
      </c>
      <c r="G11" s="14">
        <f>Assumption!G79</f>
        <v>763</v>
      </c>
      <c r="H11" s="14">
        <f>Assumption!H79</f>
        <v>763</v>
      </c>
    </row>
    <row r="12" spans="1:8" x14ac:dyDescent="0.3">
      <c r="A12" s="88" t="s">
        <v>70</v>
      </c>
      <c r="B12" s="4">
        <v>10</v>
      </c>
      <c r="C12" s="4">
        <v>17</v>
      </c>
      <c r="D12" s="14">
        <f>Assumption!D80</f>
        <v>17</v>
      </c>
      <c r="E12" s="14">
        <f>Assumption!E80</f>
        <v>17</v>
      </c>
      <c r="F12" s="14">
        <f>Assumption!F80</f>
        <v>17</v>
      </c>
      <c r="G12" s="14">
        <f>Assumption!G80</f>
        <v>17</v>
      </c>
      <c r="H12" s="14">
        <f>Assumption!H80</f>
        <v>17</v>
      </c>
    </row>
    <row r="13" spans="1:8" x14ac:dyDescent="0.3">
      <c r="A13" t="s">
        <v>71</v>
      </c>
      <c r="B13" s="4">
        <v>1175</v>
      </c>
      <c r="C13" s="4">
        <v>1199</v>
      </c>
      <c r="D13" s="14">
        <f>Assumption!D81</f>
        <v>1199</v>
      </c>
      <c r="E13" s="14">
        <f>Assumption!E81</f>
        <v>1199</v>
      </c>
      <c r="F13" s="14">
        <f>Assumption!F81</f>
        <v>1199</v>
      </c>
      <c r="G13" s="14">
        <f>Assumption!G81</f>
        <v>1199</v>
      </c>
      <c r="H13" s="14">
        <f>Assumption!H81</f>
        <v>1199</v>
      </c>
    </row>
    <row r="14" spans="1:8" x14ac:dyDescent="0.3">
      <c r="A14" t="s">
        <v>72</v>
      </c>
      <c r="B14" s="4">
        <v>292</v>
      </c>
      <c r="C14" s="4">
        <v>360</v>
      </c>
      <c r="D14" s="14">
        <f>Assumption!D82</f>
        <v>360</v>
      </c>
      <c r="E14" s="14">
        <f>Assumption!E82</f>
        <v>360</v>
      </c>
      <c r="F14" s="14">
        <f>Assumption!F82</f>
        <v>360</v>
      </c>
      <c r="G14" s="14">
        <f>Assumption!G82</f>
        <v>360</v>
      </c>
      <c r="H14" s="14">
        <f>Assumption!H82</f>
        <v>360</v>
      </c>
    </row>
    <row r="15" spans="1:8" x14ac:dyDescent="0.3">
      <c r="A15" s="23" t="s">
        <v>73</v>
      </c>
      <c r="B15" s="4"/>
      <c r="C15" s="4"/>
    </row>
    <row r="16" spans="1:8" x14ac:dyDescent="0.3">
      <c r="A16" t="s">
        <v>74</v>
      </c>
      <c r="B16" s="4">
        <v>4022</v>
      </c>
      <c r="C16" s="4">
        <v>4415</v>
      </c>
      <c r="D16" s="14">
        <f>'Working Cap Schedule '!D3</f>
        <v>4423.6338073173656</v>
      </c>
      <c r="E16" s="14">
        <f>'Working Cap Schedule '!E3</f>
        <v>4839.7248525294599</v>
      </c>
      <c r="F16" s="14">
        <f>'Working Cap Schedule '!F3</f>
        <v>5187.9233414766322</v>
      </c>
      <c r="G16" s="14">
        <f>'Working Cap Schedule '!G3</f>
        <v>5675.8022293434105</v>
      </c>
      <c r="H16" s="14">
        <f>'Working Cap Schedule '!H3</f>
        <v>6208.747463409446</v>
      </c>
    </row>
    <row r="17" spans="1:8" x14ac:dyDescent="0.3">
      <c r="A17" t="s">
        <v>67</v>
      </c>
      <c r="B17" s="4">
        <v>4558</v>
      </c>
      <c r="C17" s="4">
        <v>3751</v>
      </c>
      <c r="D17" s="14">
        <f>'Working Cap Schedule '!D4</f>
        <v>4362.6589259012171</v>
      </c>
      <c r="E17" s="14">
        <f>'Working Cap Schedule '!E4</f>
        <v>4436.4585736312392</v>
      </c>
      <c r="F17" s="14">
        <f>'Working Cap Schedule '!F4</f>
        <v>4934.3842830556168</v>
      </c>
      <c r="G17" s="14">
        <f>'Working Cap Schedule '!G4</f>
        <v>5300.2016215703134</v>
      </c>
      <c r="H17" s="14">
        <f>'Working Cap Schedule '!H4</f>
        <v>5851.4770971935204</v>
      </c>
    </row>
    <row r="18" spans="1:8" x14ac:dyDescent="0.3">
      <c r="A18" t="s">
        <v>75</v>
      </c>
      <c r="B18" s="4">
        <v>2997</v>
      </c>
      <c r="C18" s="4">
        <v>3819</v>
      </c>
      <c r="D18" s="14">
        <f>'Working Cap Schedule '!D5</f>
        <v>3571.1283424571534</v>
      </c>
      <c r="E18" s="14">
        <f>'Working Cap Schedule '!E5</f>
        <v>4049.234236479258</v>
      </c>
      <c r="F18" s="14">
        <f>'Working Cap Schedule '!F5</f>
        <v>4265.0383365905427</v>
      </c>
      <c r="G18" s="14">
        <f>'Working Cap Schedule '!G5</f>
        <v>4707.6273781275277</v>
      </c>
      <c r="H18" s="14">
        <f>'Working Cap Schedule '!H5</f>
        <v>5127.0166854113813</v>
      </c>
    </row>
    <row r="19" spans="1:8" x14ac:dyDescent="0.3">
      <c r="A19" t="s">
        <v>76</v>
      </c>
      <c r="B19" s="4">
        <v>825</v>
      </c>
      <c r="C19" s="4">
        <v>6071</v>
      </c>
      <c r="D19" s="4"/>
      <c r="E19" s="4"/>
      <c r="F19" s="4"/>
      <c r="G19" s="4"/>
      <c r="H19" s="4"/>
    </row>
    <row r="20" spans="1:8" x14ac:dyDescent="0.3">
      <c r="A20" t="s">
        <v>77</v>
      </c>
      <c r="B20" s="4">
        <v>6734</v>
      </c>
      <c r="C20" s="4">
        <v>1483</v>
      </c>
      <c r="D20" s="14">
        <f>'Working Cap Schedule '!D6</f>
        <v>3952.269742465754</v>
      </c>
      <c r="E20" s="14">
        <f>'Working Cap Schedule '!E6</f>
        <v>4438.8976338684924</v>
      </c>
      <c r="F20" s="14">
        <f>'Working Cap Schedule '!F6</f>
        <v>5010.4002658002419</v>
      </c>
      <c r="G20" s="14">
        <f>'Working Cap Schedule '!G6</f>
        <v>5684.0765546105995</v>
      </c>
      <c r="H20" s="14">
        <f>'Working Cap Schedule '!H6</f>
        <v>6481.2140318731463</v>
      </c>
    </row>
    <row r="21" spans="1:8" x14ac:dyDescent="0.3">
      <c r="A21" t="s">
        <v>68</v>
      </c>
      <c r="B21" s="4">
        <v>38</v>
      </c>
      <c r="C21" s="4">
        <v>46</v>
      </c>
      <c r="D21" s="14">
        <f>'Working Cap Schedule '!D7</f>
        <v>44.021333980701783</v>
      </c>
      <c r="E21" s="14">
        <f>'Working Cap Schedule '!E7</f>
        <v>49.314064631457327</v>
      </c>
      <c r="F21" s="14">
        <f>'Working Cap Schedule '!F7</f>
        <v>52.250175123382071</v>
      </c>
      <c r="G21" s="14">
        <f>'Working Cap Schedule '!G7</f>
        <v>57.500053066142691</v>
      </c>
      <c r="H21" s="14">
        <f>'Working Cap Schedule '!H7</f>
        <v>62.715711485946819</v>
      </c>
    </row>
    <row r="22" spans="1:8" x14ac:dyDescent="0.3">
      <c r="A22" t="s">
        <v>78</v>
      </c>
      <c r="B22" s="4">
        <v>1425</v>
      </c>
      <c r="C22" s="4">
        <v>1488</v>
      </c>
      <c r="D22" s="14">
        <f>'Working Cap Schedule '!D8</f>
        <v>1527.6991206467799</v>
      </c>
      <c r="E22" s="14">
        <f>'Working Cap Schedule '!E8</f>
        <v>1650.907467657747</v>
      </c>
      <c r="F22" s="14">
        <f>'Working Cap Schedule '!F8</f>
        <v>1780.5646771650504</v>
      </c>
      <c r="G22" s="14">
        <f>'Working Cap Schedule '!G8</f>
        <v>1942.0320209556799</v>
      </c>
      <c r="H22" s="14">
        <f>'Working Cap Schedule '!H8</f>
        <v>2127.6474075586489</v>
      </c>
    </row>
    <row r="23" spans="1:8" x14ac:dyDescent="0.3">
      <c r="A23" t="s">
        <v>69</v>
      </c>
      <c r="B23" s="4">
        <v>713</v>
      </c>
      <c r="C23" s="4">
        <v>955</v>
      </c>
      <c r="D23" s="14">
        <f>'Working Cap Schedule '!D9</f>
        <v>873.71056993863101</v>
      </c>
      <c r="E23" s="14">
        <f>'Working Cap Schedule '!E9</f>
        <v>1002.2038465375053</v>
      </c>
      <c r="F23" s="14">
        <f>'Working Cap Schedule '!F9</f>
        <v>1049.7130160194038</v>
      </c>
      <c r="G23" s="14">
        <f>'Working Cap Schedule '!G9</f>
        <v>1161.9445479684662</v>
      </c>
      <c r="H23" s="14">
        <f>'Working Cap Schedule '!H9</f>
        <v>1263.6732527755621</v>
      </c>
    </row>
    <row r="24" spans="1:8" x14ac:dyDescent="0.3">
      <c r="A24" t="s">
        <v>79</v>
      </c>
      <c r="B24" s="4">
        <v>12</v>
      </c>
      <c r="C24" s="4">
        <v>23</v>
      </c>
      <c r="D24" s="14">
        <f>'Working Cap Schedule '!D10</f>
        <v>18.30281643457992</v>
      </c>
      <c r="E24" s="14">
        <f>'Working Cap Schedule '!E10</f>
        <v>22.665370380959047</v>
      </c>
      <c r="F24" s="14">
        <f>'Working Cap Schedule '!F10</f>
        <v>22.893463981633452</v>
      </c>
      <c r="G24" s="14">
        <f>'Working Cap Schedule '!G10</f>
        <v>25.817119803026166</v>
      </c>
      <c r="H24" s="14">
        <f>'Working Cap Schedule '!H10</f>
        <v>27.820701135349275</v>
      </c>
    </row>
    <row r="25" spans="1:8" x14ac:dyDescent="0.3">
      <c r="A25" s="22" t="s">
        <v>80</v>
      </c>
      <c r="B25" s="28">
        <f>B16+B17+B18+B20+B21+B22+B23+B24</f>
        <v>20499</v>
      </c>
      <c r="C25" s="28">
        <f t="shared" ref="C25:H25" si="1">C16+C17+C18+C20+C21+C22+C23+C24</f>
        <v>15980</v>
      </c>
      <c r="D25" s="28">
        <f t="shared" si="1"/>
        <v>18773.424659142183</v>
      </c>
      <c r="E25" s="28">
        <f t="shared" si="1"/>
        <v>20489.406045716121</v>
      </c>
      <c r="F25" s="28">
        <f t="shared" si="1"/>
        <v>22303.167559212503</v>
      </c>
      <c r="G25" s="28">
        <f t="shared" si="1"/>
        <v>24555.001525445165</v>
      </c>
      <c r="H25" s="28">
        <f t="shared" si="1"/>
        <v>27150.312350843</v>
      </c>
    </row>
    <row r="26" spans="1:8" x14ac:dyDescent="0.3">
      <c r="A26" s="22" t="s">
        <v>81</v>
      </c>
      <c r="B26" s="4"/>
      <c r="C26" s="4"/>
    </row>
    <row r="27" spans="1:8" x14ac:dyDescent="0.3">
      <c r="A27" s="26" t="s">
        <v>82</v>
      </c>
      <c r="B27" s="4"/>
      <c r="C27" s="4"/>
    </row>
    <row r="28" spans="1:8" x14ac:dyDescent="0.3">
      <c r="A28" t="s">
        <v>83</v>
      </c>
      <c r="B28" s="4">
        <v>235</v>
      </c>
      <c r="C28" s="4">
        <v>235</v>
      </c>
      <c r="D28" s="4">
        <v>235</v>
      </c>
      <c r="E28" s="4">
        <v>235</v>
      </c>
      <c r="F28" s="4">
        <v>235</v>
      </c>
      <c r="G28" s="4">
        <v>235</v>
      </c>
      <c r="H28" s="4">
        <v>235</v>
      </c>
    </row>
    <row r="29" spans="1:8" x14ac:dyDescent="0.3">
      <c r="A29" t="s">
        <v>84</v>
      </c>
      <c r="B29" s="4">
        <v>50983</v>
      </c>
      <c r="C29" s="4">
        <v>49167</v>
      </c>
      <c r="D29" s="74">
        <f>C29+IS!D22</f>
        <v>47314.118424545297</v>
      </c>
      <c r="E29" s="74">
        <f>D29+IS!E22</f>
        <v>45333.129880760032</v>
      </c>
      <c r="F29" s="74">
        <f>E29+IS!F22</f>
        <v>43216.689602443694</v>
      </c>
      <c r="G29" s="74">
        <f>F29+IS!G22</f>
        <v>40939.396130669309</v>
      </c>
      <c r="H29" s="74">
        <f>G29+IS!H22</f>
        <v>38484.110801935152</v>
      </c>
    </row>
    <row r="30" spans="1:8" x14ac:dyDescent="0.3">
      <c r="A30" t="s">
        <v>85</v>
      </c>
      <c r="B30" s="4">
        <v>205</v>
      </c>
      <c r="C30" s="4">
        <v>207</v>
      </c>
      <c r="D30" s="4">
        <v>207</v>
      </c>
      <c r="E30" s="4">
        <v>207</v>
      </c>
      <c r="F30" s="4">
        <v>207</v>
      </c>
      <c r="G30" s="4">
        <v>207</v>
      </c>
      <c r="H30" s="4">
        <v>207</v>
      </c>
    </row>
    <row r="31" spans="1:8" x14ac:dyDescent="0.3">
      <c r="A31" s="22" t="s">
        <v>86</v>
      </c>
      <c r="B31" s="4"/>
      <c r="C31" s="4"/>
    </row>
    <row r="32" spans="1:8" x14ac:dyDescent="0.3">
      <c r="A32" s="23" t="s">
        <v>87</v>
      </c>
      <c r="B32" s="4"/>
      <c r="C32" s="4"/>
    </row>
    <row r="33" spans="1:8" x14ac:dyDescent="0.3">
      <c r="A33" t="s">
        <v>88</v>
      </c>
      <c r="B33" s="4">
        <v>1106</v>
      </c>
      <c r="C33" s="4">
        <v>1243</v>
      </c>
      <c r="D33" s="10">
        <f>'Debt Schedule'!D6</f>
        <v>1280.7352762598664</v>
      </c>
      <c r="E33" s="10">
        <f>'Debt Schedule'!E6</f>
        <v>1318.4705525197328</v>
      </c>
      <c r="F33" s="10">
        <f>'Debt Schedule'!F6</f>
        <v>1356.2058287795992</v>
      </c>
      <c r="G33" s="10">
        <f>'Debt Schedule'!G6</f>
        <v>1393.9411050394656</v>
      </c>
      <c r="H33" s="10">
        <f>'Debt Schedule'!H6</f>
        <v>1431.676381299332</v>
      </c>
    </row>
    <row r="34" spans="1:8" x14ac:dyDescent="0.3">
      <c r="A34" s="88" t="s">
        <v>89</v>
      </c>
      <c r="B34" s="4">
        <v>718</v>
      </c>
      <c r="C34" s="4">
        <v>680</v>
      </c>
      <c r="D34" s="14">
        <f>Assumption!D83</f>
        <v>680</v>
      </c>
      <c r="E34" s="14">
        <f>Assumption!E83</f>
        <v>680</v>
      </c>
      <c r="F34" s="14">
        <f>Assumption!F83</f>
        <v>680</v>
      </c>
      <c r="G34" s="14">
        <f>Assumption!G83</f>
        <v>680</v>
      </c>
      <c r="H34" s="14">
        <f>Assumption!H83</f>
        <v>680</v>
      </c>
    </row>
    <row r="35" spans="1:8" x14ac:dyDescent="0.3">
      <c r="A35" t="s">
        <v>90</v>
      </c>
      <c r="B35" s="4">
        <v>1576</v>
      </c>
      <c r="C35" s="4">
        <v>1528</v>
      </c>
      <c r="D35" s="14">
        <f>Assumption!D84</f>
        <v>1528</v>
      </c>
      <c r="E35" s="14">
        <f>Assumption!E84</f>
        <v>1528</v>
      </c>
      <c r="F35" s="14">
        <f>Assumption!F84</f>
        <v>1528</v>
      </c>
      <c r="G35" s="14">
        <f>Assumption!G84</f>
        <v>1528</v>
      </c>
      <c r="H35" s="14">
        <f>Assumption!H84</f>
        <v>1528</v>
      </c>
    </row>
    <row r="36" spans="1:8" x14ac:dyDescent="0.3">
      <c r="A36" s="88" t="s">
        <v>91</v>
      </c>
      <c r="B36" s="4">
        <v>6557</v>
      </c>
      <c r="C36" s="4">
        <v>6685</v>
      </c>
      <c r="D36" s="14">
        <f>Assumption!D85</f>
        <v>6685</v>
      </c>
      <c r="E36" s="14">
        <f>Assumption!E85</f>
        <v>6685</v>
      </c>
      <c r="F36" s="14">
        <f>Assumption!F85</f>
        <v>6685</v>
      </c>
      <c r="G36" s="14">
        <f>Assumption!G85</f>
        <v>6685</v>
      </c>
      <c r="H36" s="14">
        <f>Assumption!H85</f>
        <v>6685</v>
      </c>
    </row>
    <row r="37" spans="1:8" x14ac:dyDescent="0.3">
      <c r="A37" t="s">
        <v>92</v>
      </c>
      <c r="B37" s="4">
        <v>4243</v>
      </c>
      <c r="C37" s="4">
        <v>3598</v>
      </c>
      <c r="D37" s="14">
        <f>Assumption!D86</f>
        <v>3598</v>
      </c>
      <c r="E37" s="14">
        <f>Assumption!E86</f>
        <v>3598</v>
      </c>
      <c r="F37" s="14">
        <f>Assumption!F86</f>
        <v>3598</v>
      </c>
      <c r="G37" s="14">
        <f>Assumption!G86</f>
        <v>3598</v>
      </c>
      <c r="H37" s="14">
        <f>Assumption!H86</f>
        <v>3598</v>
      </c>
    </row>
    <row r="38" spans="1:8" x14ac:dyDescent="0.3">
      <c r="A38" s="23" t="s">
        <v>93</v>
      </c>
      <c r="B38" s="4"/>
      <c r="C38" s="4"/>
    </row>
    <row r="39" spans="1:8" x14ac:dyDescent="0.3">
      <c r="A39" t="s">
        <v>94</v>
      </c>
      <c r="B39" s="4">
        <v>13</v>
      </c>
      <c r="C39" s="4">
        <v>1</v>
      </c>
      <c r="D39" s="10">
        <f>'Debt Schedule'!D4</f>
        <v>0</v>
      </c>
      <c r="E39" s="10">
        <f>'Debt Schedule'!E4</f>
        <v>0</v>
      </c>
      <c r="F39" s="10">
        <f>'Debt Schedule'!F4</f>
        <v>0</v>
      </c>
      <c r="G39" s="10">
        <f>'Debt Schedule'!G4</f>
        <v>0</v>
      </c>
      <c r="H39" s="10">
        <f>'Debt Schedule'!H4</f>
        <v>0</v>
      </c>
    </row>
    <row r="40" spans="1:8" x14ac:dyDescent="0.3">
      <c r="A40" t="s">
        <v>88</v>
      </c>
      <c r="B40" s="4">
        <v>365</v>
      </c>
      <c r="C40" s="4">
        <v>404</v>
      </c>
      <c r="D40" s="10">
        <f>'Debt Schedule'!D7</f>
        <v>416.2647237401336</v>
      </c>
      <c r="E40" s="10">
        <f>'Debt Schedule'!E7</f>
        <v>428.52944748026721</v>
      </c>
      <c r="F40" s="10">
        <f>'Debt Schedule'!F7</f>
        <v>440.79417122040076</v>
      </c>
      <c r="G40" s="10">
        <f>'Debt Schedule'!G7</f>
        <v>453.05889496053436</v>
      </c>
      <c r="H40" s="10">
        <f>'Debt Schedule'!H7</f>
        <v>465.32361870066791</v>
      </c>
    </row>
    <row r="41" spans="1:8" x14ac:dyDescent="0.3">
      <c r="A41" t="s">
        <v>95</v>
      </c>
      <c r="B41" s="4">
        <v>250</v>
      </c>
      <c r="C41" s="4">
        <v>263</v>
      </c>
      <c r="D41" s="14">
        <f>'Working Cap Schedule '!D12</f>
        <v>269.0288782467797</v>
      </c>
      <c r="E41" s="14">
        <f>'Working Cap Schedule '!E12</f>
        <v>291.26284428657135</v>
      </c>
      <c r="F41" s="14">
        <f>'Working Cap Schedule '!F12</f>
        <v>313.84906060159346</v>
      </c>
      <c r="G41" s="14">
        <f>'Working Cap Schedule '!G12</f>
        <v>342.46756282675989</v>
      </c>
      <c r="H41" s="14">
        <f>'Working Cap Schedule '!H12</f>
        <v>375.11360150531056</v>
      </c>
    </row>
    <row r="42" spans="1:8" x14ac:dyDescent="0.3">
      <c r="A42" t="s">
        <v>96</v>
      </c>
      <c r="B42" s="4">
        <v>10236</v>
      </c>
      <c r="C42" s="4">
        <v>11052</v>
      </c>
      <c r="D42" s="14">
        <f>'Working Cap Schedule '!D13</f>
        <v>11162.490429691428</v>
      </c>
      <c r="E42" s="14">
        <f>'Working Cap Schedule '!E13</f>
        <v>12162.947376984914</v>
      </c>
      <c r="F42" s="14">
        <f>'Working Cap Schedule '!F13</f>
        <v>13064.309180120063</v>
      </c>
      <c r="G42" s="14">
        <f>'Working Cap Schedule '!G13</f>
        <v>14278.448446688697</v>
      </c>
      <c r="H42" s="14">
        <f>'Working Cap Schedule '!H13</f>
        <v>15627.045744828278</v>
      </c>
    </row>
    <row r="43" spans="1:8" x14ac:dyDescent="0.3">
      <c r="A43" t="s">
        <v>97</v>
      </c>
      <c r="B43" s="4">
        <v>868</v>
      </c>
      <c r="C43" s="4">
        <v>1280</v>
      </c>
      <c r="D43" s="14">
        <f>'Working Cap Schedule '!D14</f>
        <v>1124.6222311341965</v>
      </c>
      <c r="E43" s="14">
        <f>'Working Cap Schedule '!E14</f>
        <v>1318.3312432364742</v>
      </c>
      <c r="F43" s="14">
        <f>'Working Cap Schedule '!F14</f>
        <v>1366.4834300498187</v>
      </c>
      <c r="G43" s="14">
        <f>'Working Cap Schedule '!G14</f>
        <v>1520.6490436039903</v>
      </c>
      <c r="H43" s="14">
        <f>'Working Cap Schedule '!H14</f>
        <v>1649.4319378026767</v>
      </c>
    </row>
    <row r="44" spans="1:8" x14ac:dyDescent="0.3">
      <c r="A44" t="s">
        <v>98</v>
      </c>
      <c r="B44" s="4">
        <v>807</v>
      </c>
      <c r="C44" s="4">
        <v>959</v>
      </c>
      <c r="D44" s="14">
        <f>'Working Cap Schedule '!D15</f>
        <v>925.57935835520288</v>
      </c>
      <c r="E44" s="14">
        <f>'Working Cap Schedule '!E15</f>
        <v>1032.2970372255165</v>
      </c>
      <c r="F44" s="14">
        <f>'Working Cap Schedule '!F15</f>
        <v>1096.1271106760962</v>
      </c>
      <c r="G44" s="14">
        <f>'Working Cap Schedule '!G15</f>
        <v>1204.9448223895852</v>
      </c>
      <c r="H44" s="14">
        <f>'Working Cap Schedule '!H15</f>
        <v>1314.9560134731221</v>
      </c>
    </row>
    <row r="45" spans="1:8" x14ac:dyDescent="0.3">
      <c r="A45" t="s">
        <v>99</v>
      </c>
      <c r="B45" s="4">
        <v>340</v>
      </c>
      <c r="C45" s="4">
        <v>675</v>
      </c>
      <c r="D45" s="14">
        <f>'Working Cap Schedule '!D16</f>
        <v>530.69943787437421</v>
      </c>
      <c r="E45" s="14">
        <f>'Working Cap Schedule '!E16</f>
        <v>661.71558825028569</v>
      </c>
      <c r="F45" s="14">
        <f>'Working Cap Schedule '!F16</f>
        <v>666.25318453914247</v>
      </c>
      <c r="G45" s="14">
        <f>'Working Cap Schedule '!G16</f>
        <v>752.57563468873263</v>
      </c>
      <c r="H45" s="14">
        <f>'Working Cap Schedule '!H16</f>
        <v>810.32552530677344</v>
      </c>
    </row>
    <row r="46" spans="1:8" x14ac:dyDescent="0.3">
      <c r="A46" t="s">
        <v>100</v>
      </c>
      <c r="B46" s="4">
        <v>0</v>
      </c>
      <c r="C46" s="4">
        <v>1903</v>
      </c>
      <c r="D46" s="14">
        <f>'Working Cap Schedule '!D17</f>
        <v>0</v>
      </c>
      <c r="E46" s="14">
        <f>'Working Cap Schedule '!E17</f>
        <v>1061.8791176081015</v>
      </c>
      <c r="F46" s="14">
        <f>'Working Cap Schedule '!F17</f>
        <v>574.32665248483045</v>
      </c>
      <c r="G46" s="14">
        <f>'Working Cap Schedule '!G17</f>
        <v>938.22923142450577</v>
      </c>
      <c r="H46" s="14">
        <f>'Working Cap Schedule '!H17</f>
        <v>857.2170872649599</v>
      </c>
    </row>
    <row r="47" spans="1:8" x14ac:dyDescent="0.3">
      <c r="A47" s="1" t="s">
        <v>101</v>
      </c>
      <c r="B47" s="28">
        <f>SUM(B28:B46)</f>
        <v>78502</v>
      </c>
      <c r="C47" s="28">
        <f>SUM(C28:C46)</f>
        <v>79880</v>
      </c>
      <c r="D47" s="28">
        <f t="shared" ref="D47:H47" si="2">SUM(D28:D46)</f>
        <v>75956.538759847273</v>
      </c>
      <c r="E47" s="28">
        <f t="shared" si="2"/>
        <v>76541.56308835189</v>
      </c>
      <c r="F47" s="28">
        <f t="shared" si="2"/>
        <v>75028.038220915245</v>
      </c>
      <c r="G47" s="28">
        <f t="shared" si="2"/>
        <v>74756.710872291573</v>
      </c>
      <c r="H47" s="28">
        <f t="shared" si="2"/>
        <v>73948.200712116275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0686-2FF1-438D-8C58-E354C376D976}">
  <dimension ref="A1:H30"/>
  <sheetViews>
    <sheetView tabSelected="1" workbookViewId="0">
      <selection activeCell="A22" sqref="A22"/>
    </sheetView>
  </sheetViews>
  <sheetFormatPr defaultRowHeight="14.4" x14ac:dyDescent="0.3"/>
  <cols>
    <col min="1" max="1" width="49.44140625" customWidth="1"/>
  </cols>
  <sheetData>
    <row r="1" spans="1:8" x14ac:dyDescent="0.3">
      <c r="A1" t="s">
        <v>59</v>
      </c>
      <c r="B1" s="24">
        <v>2024</v>
      </c>
      <c r="C1" s="24">
        <f>B1+1</f>
        <v>2025</v>
      </c>
      <c r="D1" s="25">
        <v>2026</v>
      </c>
      <c r="E1" s="25">
        <f>D1+1</f>
        <v>2027</v>
      </c>
      <c r="F1" s="25">
        <f t="shared" ref="F1:H1" si="0">E1+1</f>
        <v>2028</v>
      </c>
      <c r="G1" s="25">
        <f t="shared" si="0"/>
        <v>2029</v>
      </c>
      <c r="H1" s="25">
        <f t="shared" si="0"/>
        <v>2030</v>
      </c>
    </row>
    <row r="2" spans="1:8" x14ac:dyDescent="0.3">
      <c r="A2" s="85" t="s">
        <v>218</v>
      </c>
      <c r="B2" s="77"/>
    </row>
    <row r="3" spans="1:8" x14ac:dyDescent="0.3">
      <c r="A3" s="87" t="s">
        <v>219</v>
      </c>
      <c r="B3" s="78">
        <f>IS!B17</f>
        <v>13926</v>
      </c>
      <c r="C3" s="78">
        <f>IS!C17</f>
        <v>14416</v>
      </c>
      <c r="D3" s="78">
        <f>IS!D17</f>
        <v>14981.009978550181</v>
      </c>
      <c r="E3" s="78">
        <f>IS!E17</f>
        <v>16016.786790358012</v>
      </c>
      <c r="F3" s="78">
        <f>IS!F17</f>
        <v>17111.947869999058</v>
      </c>
      <c r="G3" s="78">
        <f>IS!G17</f>
        <v>18412.486084744523</v>
      </c>
      <c r="H3" s="78">
        <f>IS!H17</f>
        <v>19851.594671358194</v>
      </c>
    </row>
    <row r="4" spans="1:8" x14ac:dyDescent="0.3">
      <c r="A4" s="87" t="s">
        <v>236</v>
      </c>
      <c r="B4" s="78">
        <f>IS!B10</f>
        <v>1216</v>
      </c>
      <c r="C4" s="78">
        <f>IS!C10</f>
        <v>1355</v>
      </c>
      <c r="D4" s="78">
        <f>IS!D10</f>
        <v>1413.0517575869555</v>
      </c>
      <c r="E4" s="78">
        <f>IS!E10</f>
        <v>1472.9202303000213</v>
      </c>
      <c r="F4" s="78">
        <f>IS!F10</f>
        <v>1534.6622717813029</v>
      </c>
      <c r="G4" s="78">
        <f>IS!G10</f>
        <v>1598.3365148933096</v>
      </c>
      <c r="H4" s="78">
        <f>IS!H10</f>
        <v>1664.0034273992089</v>
      </c>
    </row>
    <row r="5" spans="1:8" x14ac:dyDescent="0.3">
      <c r="A5" s="87" t="s">
        <v>217</v>
      </c>
      <c r="B5" s="78">
        <f>BS!B30</f>
        <v>205</v>
      </c>
      <c r="C5" s="78">
        <f>BS!C30</f>
        <v>207</v>
      </c>
      <c r="D5" s="78">
        <f>BS!D30</f>
        <v>207</v>
      </c>
      <c r="E5" s="78">
        <f>BS!E30</f>
        <v>207</v>
      </c>
      <c r="F5" s="78">
        <f>BS!F30</f>
        <v>207</v>
      </c>
      <c r="G5" s="78">
        <f>BS!G30</f>
        <v>207</v>
      </c>
      <c r="H5" s="78">
        <f>BS!H30</f>
        <v>207</v>
      </c>
    </row>
    <row r="6" spans="1:8" x14ac:dyDescent="0.3">
      <c r="A6" s="87" t="s">
        <v>220</v>
      </c>
      <c r="B6" s="78">
        <f>'Working Cap Schedule '!B19</f>
        <v>0</v>
      </c>
      <c r="C6" s="78">
        <f>'Working Cap Schedule '!C19</f>
        <v>-8150</v>
      </c>
      <c r="D6" s="78">
        <f>'Working Cap Schedule '!D19</f>
        <v>4913.0043238402013</v>
      </c>
      <c r="E6" s="78">
        <f>'Working Cap Schedule '!E19</f>
        <v>-800.03148571594465</v>
      </c>
      <c r="F6" s="78">
        <f>'Working Cap Schedule '!F19</f>
        <v>1260.8461026167024</v>
      </c>
      <c r="G6" s="78">
        <f>'Working Cap Schedule '!G19</f>
        <v>295.86784308193455</v>
      </c>
      <c r="H6" s="78">
        <f>'Working Cap Schedule '!H19</f>
        <v>998.53565683898705</v>
      </c>
    </row>
    <row r="7" spans="1:8" x14ac:dyDescent="0.3">
      <c r="A7" s="87" t="s">
        <v>221</v>
      </c>
      <c r="B7" s="78"/>
      <c r="C7">
        <f>'Working Cap Schedule '!C50</f>
        <v>-100</v>
      </c>
      <c r="D7">
        <f>'Working Cap Schedule '!D50</f>
        <v>0</v>
      </c>
      <c r="E7">
        <f>'Working Cap Schedule '!E50</f>
        <v>0</v>
      </c>
      <c r="F7">
        <f>'Working Cap Schedule '!F50</f>
        <v>0</v>
      </c>
      <c r="G7">
        <f>'Working Cap Schedule '!G50</f>
        <v>0</v>
      </c>
      <c r="H7">
        <f>'Working Cap Schedule '!H50</f>
        <v>0</v>
      </c>
    </row>
    <row r="8" spans="1:8" x14ac:dyDescent="0.3">
      <c r="A8" s="87" t="s">
        <v>222</v>
      </c>
      <c r="B8" s="78"/>
    </row>
    <row r="9" spans="1:8" x14ac:dyDescent="0.3">
      <c r="A9" s="86" t="s">
        <v>247</v>
      </c>
      <c r="B9" s="79">
        <f>SUM(B3:B8)</f>
        <v>15347</v>
      </c>
      <c r="C9" s="79">
        <f t="shared" ref="C9:H9" si="1">SUM(C3:C8)</f>
        <v>7728</v>
      </c>
      <c r="D9" s="79">
        <f t="shared" si="1"/>
        <v>21514.06605997734</v>
      </c>
      <c r="E9" s="79">
        <f t="shared" si="1"/>
        <v>16896.675534942086</v>
      </c>
      <c r="F9" s="79">
        <f t="shared" si="1"/>
        <v>20114.456244397064</v>
      </c>
      <c r="G9" s="79">
        <f t="shared" si="1"/>
        <v>20513.690442719766</v>
      </c>
      <c r="H9" s="79">
        <f t="shared" si="1"/>
        <v>22721.133755596391</v>
      </c>
    </row>
    <row r="10" spans="1:8" x14ac:dyDescent="0.3">
      <c r="A10" s="79"/>
      <c r="B10" s="78"/>
    </row>
    <row r="11" spans="1:8" x14ac:dyDescent="0.3">
      <c r="A11" s="85" t="s">
        <v>223</v>
      </c>
      <c r="B11" s="77"/>
    </row>
    <row r="12" spans="1:8" x14ac:dyDescent="0.3">
      <c r="A12" s="87" t="s">
        <v>224</v>
      </c>
      <c r="B12" s="78"/>
      <c r="C12">
        <f>'CAPEX Schedule '!C25</f>
        <v>2529</v>
      </c>
      <c r="D12">
        <f>'CAPEX Schedule '!D25</f>
        <v>1855</v>
      </c>
      <c r="E12">
        <f>'CAPEX Schedule '!E25</f>
        <v>1913.0517575869555</v>
      </c>
      <c r="F12">
        <f>'CAPEX Schedule '!F25</f>
        <v>1972.9202303000213</v>
      </c>
      <c r="G12">
        <f>'CAPEX Schedule '!G25</f>
        <v>2034.6622717813029</v>
      </c>
      <c r="H12">
        <f>'CAPEX Schedule '!H25</f>
        <v>2098.3365148933099</v>
      </c>
    </row>
    <row r="13" spans="1:8" x14ac:dyDescent="0.3">
      <c r="A13" s="87" t="s">
        <v>225</v>
      </c>
      <c r="B13" s="78"/>
    </row>
    <row r="14" spans="1:8" x14ac:dyDescent="0.3">
      <c r="A14" s="87" t="s">
        <v>226</v>
      </c>
      <c r="B14" s="78"/>
    </row>
    <row r="15" spans="1:8" x14ac:dyDescent="0.3">
      <c r="A15" s="87" t="s">
        <v>222</v>
      </c>
      <c r="B15" s="78"/>
    </row>
    <row r="16" spans="1:8" x14ac:dyDescent="0.3">
      <c r="A16" s="86" t="s">
        <v>248</v>
      </c>
      <c r="B16" s="79"/>
      <c r="C16" s="56">
        <f>SUM(C12:C15)</f>
        <v>2529</v>
      </c>
      <c r="D16" s="56">
        <f t="shared" ref="D16:H16" si="2">SUM(D12:D15)</f>
        <v>1855</v>
      </c>
      <c r="E16" s="56">
        <f t="shared" si="2"/>
        <v>1913.0517575869555</v>
      </c>
      <c r="F16" s="56">
        <f t="shared" si="2"/>
        <v>1972.9202303000213</v>
      </c>
      <c r="G16" s="56">
        <f t="shared" si="2"/>
        <v>2034.6622717813029</v>
      </c>
      <c r="H16" s="56">
        <f t="shared" si="2"/>
        <v>2098.3365148933099</v>
      </c>
    </row>
    <row r="17" spans="1:2" x14ac:dyDescent="0.3">
      <c r="A17" s="75"/>
      <c r="B17" s="75"/>
    </row>
    <row r="18" spans="1:2" x14ac:dyDescent="0.3">
      <c r="A18" s="85" t="s">
        <v>227</v>
      </c>
      <c r="B18" s="77"/>
    </row>
    <row r="19" spans="1:2" x14ac:dyDescent="0.3">
      <c r="A19" s="87" t="s">
        <v>228</v>
      </c>
      <c r="B19" s="78"/>
    </row>
    <row r="20" spans="1:2" x14ac:dyDescent="0.3">
      <c r="A20" s="87" t="s">
        <v>229</v>
      </c>
      <c r="B20" s="78"/>
    </row>
    <row r="21" spans="1:2" x14ac:dyDescent="0.3">
      <c r="A21" s="87" t="s">
        <v>230</v>
      </c>
      <c r="B21" s="78"/>
    </row>
    <row r="22" spans="1:2" x14ac:dyDescent="0.3">
      <c r="A22" s="87" t="s">
        <v>231</v>
      </c>
      <c r="B22" s="78"/>
    </row>
    <row r="23" spans="1:2" x14ac:dyDescent="0.3">
      <c r="A23" s="87" t="s">
        <v>222</v>
      </c>
      <c r="B23" s="78"/>
    </row>
    <row r="24" spans="1:2" x14ac:dyDescent="0.3">
      <c r="A24" s="86" t="s">
        <v>248</v>
      </c>
      <c r="B24" s="79"/>
    </row>
    <row r="25" spans="1:2" x14ac:dyDescent="0.3">
      <c r="A25" s="75"/>
      <c r="B25" s="75"/>
    </row>
    <row r="26" spans="1:2" x14ac:dyDescent="0.3">
      <c r="A26" s="79"/>
      <c r="B26" s="78"/>
    </row>
    <row r="27" spans="1:2" x14ac:dyDescent="0.3">
      <c r="A27" s="76" t="s">
        <v>232</v>
      </c>
      <c r="B27" s="78"/>
    </row>
    <row r="28" spans="1:2" x14ac:dyDescent="0.3">
      <c r="A28" s="76" t="s">
        <v>233</v>
      </c>
      <c r="B28" s="78"/>
    </row>
    <row r="29" spans="1:2" x14ac:dyDescent="0.3">
      <c r="A29" s="80" t="s">
        <v>234</v>
      </c>
      <c r="B29" s="76"/>
    </row>
    <row r="30" spans="1:2" x14ac:dyDescent="0.3">
      <c r="A30" s="80" t="s">
        <v>235</v>
      </c>
      <c r="B30" s="7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A8E5-103B-4A65-85EB-788E61C25C07}">
  <dimension ref="A1:I27"/>
  <sheetViews>
    <sheetView zoomScale="78" zoomScaleNormal="70" workbookViewId="0">
      <selection activeCell="B37" sqref="B37"/>
    </sheetView>
  </sheetViews>
  <sheetFormatPr defaultRowHeight="14.4" x14ac:dyDescent="0.3"/>
  <cols>
    <col min="1" max="1" width="59.109375" customWidth="1"/>
    <col min="2" max="2" width="13.109375" customWidth="1"/>
    <col min="3" max="3" width="11.33203125" bestFit="1" customWidth="1"/>
    <col min="4" max="4" width="10.44140625" customWidth="1"/>
    <col min="5" max="5" width="11.33203125" customWidth="1"/>
    <col min="6" max="6" width="11.21875" customWidth="1"/>
    <col min="7" max="7" width="9.33203125" customWidth="1"/>
    <col min="8" max="8" width="10.5546875" customWidth="1"/>
  </cols>
  <sheetData>
    <row r="1" spans="1:9" x14ac:dyDescent="0.3">
      <c r="A1" s="30" t="s">
        <v>132</v>
      </c>
      <c r="B1" s="24">
        <v>2024</v>
      </c>
      <c r="C1" s="24">
        <f>B1+1</f>
        <v>2025</v>
      </c>
      <c r="D1" s="25">
        <v>2026</v>
      </c>
      <c r="E1" s="25">
        <f>D1+1</f>
        <v>2027</v>
      </c>
      <c r="F1" s="25">
        <f t="shared" ref="F1:H1" si="0">E1+1</f>
        <v>2028</v>
      </c>
      <c r="G1" s="25">
        <f t="shared" si="0"/>
        <v>2029</v>
      </c>
      <c r="H1" s="25">
        <f t="shared" si="0"/>
        <v>2030</v>
      </c>
    </row>
    <row r="2" spans="1:9" x14ac:dyDescent="0.3">
      <c r="A2" t="s">
        <v>133</v>
      </c>
      <c r="B2" s="4">
        <v>0</v>
      </c>
      <c r="C2" s="4">
        <v>0</v>
      </c>
      <c r="D2" s="4">
        <f>C2</f>
        <v>0</v>
      </c>
      <c r="E2" s="4">
        <f t="shared" ref="E2:H2" si="1">D2</f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</row>
    <row r="3" spans="1:9" x14ac:dyDescent="0.3">
      <c r="A3" t="s">
        <v>134</v>
      </c>
      <c r="B3" s="33">
        <f>BS!B39</f>
        <v>13</v>
      </c>
      <c r="C3" s="33">
        <f>BS!C39</f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</row>
    <row r="4" spans="1:9" x14ac:dyDescent="0.3">
      <c r="A4" s="31" t="s">
        <v>135</v>
      </c>
      <c r="B4" s="33">
        <f>SUM(B2:B3)</f>
        <v>13</v>
      </c>
      <c r="C4" s="33">
        <f>SUM(C2:C3)</f>
        <v>1</v>
      </c>
      <c r="D4" s="33">
        <f>SUM(D2:D3)</f>
        <v>0</v>
      </c>
      <c r="E4" s="33">
        <f t="shared" ref="E4:H4" si="2">SUM(E2:E3)</f>
        <v>0</v>
      </c>
      <c r="F4" s="33">
        <f t="shared" si="2"/>
        <v>0</v>
      </c>
      <c r="G4" s="33">
        <f t="shared" si="2"/>
        <v>0</v>
      </c>
      <c r="H4" s="33">
        <f t="shared" si="2"/>
        <v>0</v>
      </c>
      <c r="I4" s="33"/>
    </row>
    <row r="5" spans="1:9" x14ac:dyDescent="0.3">
      <c r="B5" s="33"/>
      <c r="C5" s="33"/>
    </row>
    <row r="6" spans="1:9" x14ac:dyDescent="0.3">
      <c r="A6" t="s">
        <v>136</v>
      </c>
      <c r="B6" s="33">
        <f>BS!B33</f>
        <v>1106</v>
      </c>
      <c r="C6" s="33">
        <f>BS!C33</f>
        <v>1243</v>
      </c>
      <c r="D6" s="33">
        <f>C$6/C$8*D$8</f>
        <v>1280.7352762598664</v>
      </c>
      <c r="E6" s="33">
        <f t="shared" ref="E6:H6" si="3">D$6/D$8*E$8</f>
        <v>1318.4705525197328</v>
      </c>
      <c r="F6" s="33">
        <f t="shared" si="3"/>
        <v>1356.2058287795992</v>
      </c>
      <c r="G6" s="33">
        <f t="shared" si="3"/>
        <v>1393.9411050394656</v>
      </c>
      <c r="H6" s="33">
        <f t="shared" si="3"/>
        <v>1431.676381299332</v>
      </c>
    </row>
    <row r="7" spans="1:9" x14ac:dyDescent="0.3">
      <c r="A7" t="s">
        <v>137</v>
      </c>
      <c r="B7" s="33">
        <f>BS!B40</f>
        <v>365</v>
      </c>
      <c r="C7" s="33">
        <f>BS!C40</f>
        <v>404</v>
      </c>
      <c r="D7" s="4">
        <f>C$7/C$8*D$8</f>
        <v>416.2647237401336</v>
      </c>
      <c r="E7" s="4">
        <f t="shared" ref="E7:H7" si="4">D$7/D$8*E$8</f>
        <v>428.52944748026721</v>
      </c>
      <c r="F7" s="4">
        <f t="shared" si="4"/>
        <v>440.79417122040076</v>
      </c>
      <c r="G7" s="4">
        <f t="shared" si="4"/>
        <v>453.05889496053436</v>
      </c>
      <c r="H7" s="4">
        <f t="shared" si="4"/>
        <v>465.32361870066791</v>
      </c>
    </row>
    <row r="8" spans="1:9" x14ac:dyDescent="0.3">
      <c r="A8" s="32" t="s">
        <v>138</v>
      </c>
      <c r="B8" s="33">
        <f>SUM(B6:B7)</f>
        <v>1471</v>
      </c>
      <c r="C8" s="33">
        <f>SUM(C6:C7)</f>
        <v>1647</v>
      </c>
      <c r="D8" s="33">
        <f>C8+D22</f>
        <v>1697</v>
      </c>
      <c r="E8" s="33">
        <f t="shared" ref="E8:H8" si="5">D8+E22</f>
        <v>1747</v>
      </c>
      <c r="F8" s="33">
        <f t="shared" si="5"/>
        <v>1797</v>
      </c>
      <c r="G8" s="33">
        <f t="shared" si="5"/>
        <v>1847</v>
      </c>
      <c r="H8" s="33">
        <f t="shared" si="5"/>
        <v>1897</v>
      </c>
    </row>
    <row r="9" spans="1:9" x14ac:dyDescent="0.3">
      <c r="B9" s="33"/>
      <c r="C9" s="33"/>
    </row>
    <row r="10" spans="1:9" x14ac:dyDescent="0.3">
      <c r="A10" t="s">
        <v>139</v>
      </c>
      <c r="B10" s="34">
        <v>4</v>
      </c>
      <c r="C10" s="34">
        <v>3</v>
      </c>
      <c r="D10" s="33">
        <f>C10</f>
        <v>3</v>
      </c>
      <c r="E10" s="33">
        <f t="shared" ref="E10:H10" si="6">D10</f>
        <v>3</v>
      </c>
      <c r="F10" s="33">
        <f t="shared" si="6"/>
        <v>3</v>
      </c>
      <c r="G10" s="33">
        <f t="shared" si="6"/>
        <v>3</v>
      </c>
      <c r="H10" s="33">
        <f t="shared" si="6"/>
        <v>3</v>
      </c>
    </row>
    <row r="11" spans="1:9" x14ac:dyDescent="0.3">
      <c r="A11" t="s">
        <v>140</v>
      </c>
      <c r="B11" s="34">
        <v>24</v>
      </c>
      <c r="C11" s="34">
        <v>23</v>
      </c>
      <c r="D11" s="33">
        <f t="shared" ref="D11:H13" si="7">C11</f>
        <v>23</v>
      </c>
      <c r="E11" s="33">
        <f t="shared" si="7"/>
        <v>23</v>
      </c>
      <c r="F11" s="33">
        <f t="shared" si="7"/>
        <v>23</v>
      </c>
      <c r="G11" s="33">
        <f t="shared" si="7"/>
        <v>23</v>
      </c>
      <c r="H11" s="33">
        <f t="shared" si="7"/>
        <v>23</v>
      </c>
    </row>
    <row r="12" spans="1:9" x14ac:dyDescent="0.3">
      <c r="A12" t="s">
        <v>141</v>
      </c>
      <c r="B12" s="34">
        <v>20</v>
      </c>
      <c r="C12" s="34">
        <v>16</v>
      </c>
      <c r="D12" s="33">
        <f t="shared" si="7"/>
        <v>16</v>
      </c>
      <c r="E12" s="33">
        <f t="shared" si="7"/>
        <v>16</v>
      </c>
      <c r="F12" s="33">
        <f t="shared" si="7"/>
        <v>16</v>
      </c>
      <c r="G12" s="33">
        <f t="shared" si="7"/>
        <v>16</v>
      </c>
      <c r="H12" s="33">
        <f t="shared" si="7"/>
        <v>16</v>
      </c>
    </row>
    <row r="13" spans="1:9" x14ac:dyDescent="0.3">
      <c r="A13" t="s">
        <v>142</v>
      </c>
      <c r="B13" s="34">
        <v>9</v>
      </c>
      <c r="C13" s="34">
        <v>11</v>
      </c>
      <c r="D13" s="33">
        <f t="shared" si="7"/>
        <v>11</v>
      </c>
      <c r="E13" s="33">
        <f t="shared" si="7"/>
        <v>11</v>
      </c>
      <c r="F13" s="33">
        <f t="shared" si="7"/>
        <v>11</v>
      </c>
      <c r="G13" s="33">
        <f t="shared" si="7"/>
        <v>11</v>
      </c>
      <c r="H13" s="33">
        <f t="shared" si="7"/>
        <v>11</v>
      </c>
    </row>
    <row r="14" spans="1:9" x14ac:dyDescent="0.3">
      <c r="A14" t="s">
        <v>143</v>
      </c>
      <c r="B14" s="34">
        <v>106</v>
      </c>
      <c r="C14" s="34">
        <v>127</v>
      </c>
      <c r="D14" s="4">
        <f>D19*D8</f>
        <v>126.57050744674308</v>
      </c>
      <c r="E14" s="4">
        <f t="shared" ref="E14:H14" si="8">E19*E8</f>
        <v>130.29975044753104</v>
      </c>
      <c r="F14" s="4">
        <f t="shared" si="8"/>
        <v>134.028993448319</v>
      </c>
      <c r="G14" s="4">
        <f t="shared" si="8"/>
        <v>137.75823644910693</v>
      </c>
      <c r="H14" s="4">
        <f t="shared" si="8"/>
        <v>141.48747944989489</v>
      </c>
    </row>
    <row r="15" spans="1:9" x14ac:dyDescent="0.3">
      <c r="A15" t="s">
        <v>144</v>
      </c>
      <c r="B15" s="34">
        <v>171</v>
      </c>
      <c r="C15" s="34">
        <v>215</v>
      </c>
      <c r="D15" s="33">
        <f>C15</f>
        <v>215</v>
      </c>
      <c r="E15" s="33">
        <f t="shared" ref="E15:H16" si="9">D15</f>
        <v>215</v>
      </c>
      <c r="F15" s="33">
        <f t="shared" si="9"/>
        <v>215</v>
      </c>
      <c r="G15" s="33">
        <f t="shared" si="9"/>
        <v>215</v>
      </c>
      <c r="H15" s="33">
        <f t="shared" si="9"/>
        <v>215</v>
      </c>
    </row>
    <row r="16" spans="1:9" x14ac:dyDescent="0.3">
      <c r="A16" s="32" t="s">
        <v>145</v>
      </c>
      <c r="B16" s="33">
        <f>SUM(B10:B15)</f>
        <v>334</v>
      </c>
      <c r="C16" s="33">
        <f>SUM(C10:C15)</f>
        <v>395</v>
      </c>
      <c r="D16" s="33">
        <f t="shared" ref="D16:H16" si="10">SUM(D10:D15)</f>
        <v>394.57050744674308</v>
      </c>
      <c r="E16" s="33">
        <f t="shared" si="10"/>
        <v>398.29975044753104</v>
      </c>
      <c r="F16" s="33">
        <f t="shared" si="10"/>
        <v>402.028993448319</v>
      </c>
      <c r="G16" s="33">
        <f t="shared" si="10"/>
        <v>405.7582364491069</v>
      </c>
      <c r="H16" s="33">
        <f t="shared" si="10"/>
        <v>409.48747944989486</v>
      </c>
    </row>
    <row r="18" spans="1:8" x14ac:dyDescent="0.3">
      <c r="A18" t="s">
        <v>146</v>
      </c>
      <c r="B18" s="10">
        <f>0</f>
        <v>0</v>
      </c>
      <c r="C18" s="10">
        <f>0</f>
        <v>0</v>
      </c>
      <c r="D18" s="10">
        <f>0</f>
        <v>0</v>
      </c>
      <c r="E18" s="10">
        <f>0</f>
        <v>0</v>
      </c>
      <c r="F18" s="10">
        <f>0</f>
        <v>0</v>
      </c>
      <c r="G18" s="10">
        <f>0</f>
        <v>0</v>
      </c>
      <c r="H18" s="10">
        <f>0</f>
        <v>0</v>
      </c>
    </row>
    <row r="19" spans="1:8" x14ac:dyDescent="0.3">
      <c r="A19" t="s">
        <v>147</v>
      </c>
      <c r="B19" s="6">
        <f>B14/B8</f>
        <v>7.2059823249490146E-2</v>
      </c>
      <c r="C19" s="6">
        <f>C14/C8</f>
        <v>7.7109896782027926E-2</v>
      </c>
      <c r="D19" s="6">
        <f>AVERAGE(B19:C19)</f>
        <v>7.4584860015759036E-2</v>
      </c>
      <c r="E19" s="6">
        <f t="shared" ref="E19:H19" si="11">D19</f>
        <v>7.4584860015759036E-2</v>
      </c>
      <c r="F19" s="6">
        <f t="shared" si="11"/>
        <v>7.4584860015759036E-2</v>
      </c>
      <c r="G19" s="6">
        <f t="shared" si="11"/>
        <v>7.4584860015759036E-2</v>
      </c>
      <c r="H19" s="6">
        <f t="shared" si="11"/>
        <v>7.4584860015759036E-2</v>
      </c>
    </row>
    <row r="20" spans="1:8" x14ac:dyDescent="0.3">
      <c r="A20" t="s">
        <v>148</v>
      </c>
      <c r="C20" s="6">
        <f>C16/(C8+C4)</f>
        <v>0.23968446601941748</v>
      </c>
      <c r="D20" s="6">
        <f t="shared" ref="D20:H20" si="12">D16/(D8+D4)</f>
        <v>0.2325106113416282</v>
      </c>
      <c r="E20" s="6">
        <f t="shared" si="12"/>
        <v>0.22799069859618262</v>
      </c>
      <c r="F20" s="6">
        <f t="shared" si="12"/>
        <v>0.22372231132349416</v>
      </c>
      <c r="G20" s="6">
        <f t="shared" si="12"/>
        <v>0.21968502244131397</v>
      </c>
      <c r="H20" s="6">
        <f t="shared" si="12"/>
        <v>0.21586055848702945</v>
      </c>
    </row>
    <row r="21" spans="1:8" x14ac:dyDescent="0.3">
      <c r="A21" t="s">
        <v>149</v>
      </c>
      <c r="B21" s="10">
        <v>0</v>
      </c>
      <c r="C21" s="35">
        <f>C4-B4</f>
        <v>-12</v>
      </c>
      <c r="D21" s="35">
        <f>D4-C4</f>
        <v>-1</v>
      </c>
      <c r="E21" s="35">
        <f t="shared" ref="E21:H21" si="13">E4-D4</f>
        <v>0</v>
      </c>
      <c r="F21" s="35">
        <f t="shared" si="13"/>
        <v>0</v>
      </c>
      <c r="G21" s="35">
        <f t="shared" si="13"/>
        <v>0</v>
      </c>
      <c r="H21" s="35">
        <f t="shared" si="13"/>
        <v>0</v>
      </c>
    </row>
    <row r="22" spans="1:8" x14ac:dyDescent="0.3">
      <c r="A22" t="s">
        <v>150</v>
      </c>
      <c r="C22" s="35">
        <f>C8-B8</f>
        <v>176</v>
      </c>
      <c r="D22" s="35">
        <f>50</f>
        <v>50</v>
      </c>
      <c r="E22" s="35">
        <f>50</f>
        <v>50</v>
      </c>
      <c r="F22" s="35">
        <f>50</f>
        <v>50</v>
      </c>
      <c r="G22" s="35">
        <f>50</f>
        <v>50</v>
      </c>
      <c r="H22" s="35">
        <f>50</f>
        <v>50</v>
      </c>
    </row>
    <row r="25" spans="1:8" x14ac:dyDescent="0.3">
      <c r="A25" t="s">
        <v>151</v>
      </c>
    </row>
    <row r="26" spans="1:8" x14ac:dyDescent="0.3">
      <c r="A26" t="s">
        <v>152</v>
      </c>
    </row>
    <row r="27" spans="1:8" x14ac:dyDescent="0.3">
      <c r="A27" t="s">
        <v>153</v>
      </c>
    </row>
  </sheetData>
  <pageMargins left="0.7" right="0.7" top="0.75" bottom="0.75" header="0.3" footer="0.3"/>
  <ignoredErrors>
    <ignoredError sqref="D14:H1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1D37-1AD8-4CCC-8350-E6EF4F27E925}">
  <dimension ref="A1:I50"/>
  <sheetViews>
    <sheetView topLeftCell="S20" zoomScale="80" zoomScaleNormal="100" workbookViewId="0">
      <selection activeCell="A17" sqref="A17"/>
    </sheetView>
  </sheetViews>
  <sheetFormatPr defaultRowHeight="14.4" x14ac:dyDescent="0.3"/>
  <cols>
    <col min="1" max="1" width="44.109375" customWidth="1"/>
    <col min="2" max="2" width="15.109375" customWidth="1"/>
    <col min="3" max="3" width="17.6640625" customWidth="1"/>
    <col min="4" max="4" width="15.33203125" bestFit="1" customWidth="1"/>
    <col min="5" max="5" width="19" customWidth="1"/>
    <col min="6" max="6" width="16.88671875" customWidth="1"/>
    <col min="7" max="7" width="16.33203125" customWidth="1"/>
    <col min="8" max="8" width="16.88671875" customWidth="1"/>
  </cols>
  <sheetData>
    <row r="1" spans="1:8" x14ac:dyDescent="0.3">
      <c r="A1" s="22" t="s">
        <v>102</v>
      </c>
      <c r="B1" s="24">
        <v>2024</v>
      </c>
      <c r="C1" s="24">
        <f>B1+1</f>
        <v>2025</v>
      </c>
      <c r="D1" s="25">
        <v>2026</v>
      </c>
      <c r="E1" s="25">
        <f>D1+1</f>
        <v>2027</v>
      </c>
      <c r="F1" s="25">
        <f t="shared" ref="F1:H1" si="0">E1+1</f>
        <v>2028</v>
      </c>
      <c r="G1" s="25">
        <f t="shared" si="0"/>
        <v>2029</v>
      </c>
      <c r="H1" s="25">
        <f t="shared" si="0"/>
        <v>2030</v>
      </c>
    </row>
    <row r="2" spans="1:8" x14ac:dyDescent="0.3">
      <c r="A2" s="26" t="s">
        <v>103</v>
      </c>
    </row>
    <row r="3" spans="1:8" x14ac:dyDescent="0.3">
      <c r="A3" t="s">
        <v>74</v>
      </c>
      <c r="B3" s="4">
        <f>BS!B16</f>
        <v>4022</v>
      </c>
      <c r="C3" s="4">
        <f>BS!C16</f>
        <v>4415</v>
      </c>
      <c r="D3" s="14">
        <f>D22*IS!D2/365</f>
        <v>4423.6338073173656</v>
      </c>
      <c r="E3" s="14">
        <f>E22*IS!E2/365</f>
        <v>4839.7248525294599</v>
      </c>
      <c r="F3" s="14">
        <f>F22*IS!F2/365</f>
        <v>5187.9233414766322</v>
      </c>
      <c r="G3" s="14">
        <f>G22*IS!G2/365</f>
        <v>5675.8022293434105</v>
      </c>
      <c r="H3" s="14">
        <f>H22*IS!H2/365</f>
        <v>6208.747463409446</v>
      </c>
    </row>
    <row r="4" spans="1:8" x14ac:dyDescent="0.3">
      <c r="A4" t="s">
        <v>67</v>
      </c>
      <c r="B4" s="4">
        <f>BS!B17</f>
        <v>4558</v>
      </c>
      <c r="C4" s="4">
        <f>BS!C17</f>
        <v>3751</v>
      </c>
      <c r="D4" s="14">
        <f>D23*IS!D2/365</f>
        <v>4362.6589259012171</v>
      </c>
      <c r="E4" s="14">
        <f>E23*IS!E2/365</f>
        <v>4436.4585736312392</v>
      </c>
      <c r="F4" s="14">
        <f>F23*IS!F2/365</f>
        <v>4934.3842830556168</v>
      </c>
      <c r="G4" s="14">
        <f>G23*IS!G2/365</f>
        <v>5300.2016215703134</v>
      </c>
      <c r="H4" s="14">
        <f>H23*IS!H2/365</f>
        <v>5851.4770971935204</v>
      </c>
    </row>
    <row r="5" spans="1:8" x14ac:dyDescent="0.3">
      <c r="A5" t="s">
        <v>104</v>
      </c>
      <c r="B5" s="4">
        <f>BS!B18</f>
        <v>2997</v>
      </c>
      <c r="C5" s="4">
        <f>BS!C18</f>
        <v>3819</v>
      </c>
      <c r="D5" s="14">
        <f>D24*IS!D2/365</f>
        <v>3571.1283424571534</v>
      </c>
      <c r="E5" s="14">
        <f>E24*IS!E2/365</f>
        <v>4049.234236479258</v>
      </c>
      <c r="F5" s="14">
        <f>F24*IS!F2/365</f>
        <v>4265.0383365905427</v>
      </c>
      <c r="G5" s="14">
        <f>G24*IS!G2/365</f>
        <v>4707.6273781275277</v>
      </c>
      <c r="H5" s="14">
        <f>H24*IS!H2/365</f>
        <v>5127.0166854113813</v>
      </c>
    </row>
    <row r="6" spans="1:8" x14ac:dyDescent="0.3">
      <c r="A6" t="s">
        <v>105</v>
      </c>
      <c r="B6" s="4">
        <f>BS!B20</f>
        <v>6734</v>
      </c>
      <c r="C6" s="4">
        <f>BS!C20</f>
        <v>1483</v>
      </c>
      <c r="D6" s="14">
        <f>D25*IS!D2/365</f>
        <v>3952.269742465754</v>
      </c>
      <c r="E6" s="14">
        <f>E25*IS!E2/365</f>
        <v>4438.8976338684924</v>
      </c>
      <c r="F6" s="14">
        <f>F25*IS!F2/365</f>
        <v>5010.4002658002419</v>
      </c>
      <c r="G6" s="14">
        <f>G25*IS!G2/365</f>
        <v>5684.0765546105995</v>
      </c>
      <c r="H6" s="14">
        <f>H25*IS!H2/365</f>
        <v>6481.2140318731463</v>
      </c>
    </row>
    <row r="7" spans="1:8" x14ac:dyDescent="0.3">
      <c r="A7" t="s">
        <v>68</v>
      </c>
      <c r="B7" s="4">
        <f>BS!B21</f>
        <v>38</v>
      </c>
      <c r="C7" s="4">
        <f>BS!C21</f>
        <v>46</v>
      </c>
      <c r="D7" s="14">
        <f>D26*IS!D2/365</f>
        <v>44.021333980701783</v>
      </c>
      <c r="E7" s="14">
        <f>E26*IS!E2/365</f>
        <v>49.314064631457327</v>
      </c>
      <c r="F7" s="14">
        <f>F26*IS!F2/365</f>
        <v>52.250175123382071</v>
      </c>
      <c r="G7" s="14">
        <f>G26*IS!G2/365</f>
        <v>57.500053066142691</v>
      </c>
      <c r="H7" s="14">
        <f>H26*IS!H2/365</f>
        <v>62.715711485946819</v>
      </c>
    </row>
    <row r="8" spans="1:8" x14ac:dyDescent="0.3">
      <c r="A8" t="s">
        <v>78</v>
      </c>
      <c r="B8" s="4">
        <f>BS!B22</f>
        <v>1425</v>
      </c>
      <c r="C8" s="4">
        <f>BS!C22</f>
        <v>1488</v>
      </c>
      <c r="D8" s="14">
        <f>D27*IS!D2/365</f>
        <v>1527.6991206467799</v>
      </c>
      <c r="E8" s="14">
        <f>E27*IS!E2/365</f>
        <v>1650.907467657747</v>
      </c>
      <c r="F8" s="14">
        <f>F27*IS!F2/365</f>
        <v>1780.5646771650504</v>
      </c>
      <c r="G8" s="14">
        <f>G27*IS!G2/365</f>
        <v>1942.0320209556799</v>
      </c>
      <c r="H8" s="14">
        <f>H27*IS!H2/365</f>
        <v>2127.6474075586489</v>
      </c>
    </row>
    <row r="9" spans="1:8" x14ac:dyDescent="0.3">
      <c r="A9" t="s">
        <v>106</v>
      </c>
      <c r="B9" s="4">
        <f>BS!B23</f>
        <v>713</v>
      </c>
      <c r="C9" s="4">
        <f>BS!C23</f>
        <v>955</v>
      </c>
      <c r="D9" s="14">
        <f>D28*IS!D2/365</f>
        <v>873.71056993863101</v>
      </c>
      <c r="E9" s="14">
        <f>E28*IS!E2/365</f>
        <v>1002.2038465375053</v>
      </c>
      <c r="F9" s="14">
        <f>F28*IS!F2/365</f>
        <v>1049.7130160194038</v>
      </c>
      <c r="G9" s="14">
        <f>G28*IS!G2/365</f>
        <v>1161.9445479684662</v>
      </c>
      <c r="H9" s="14">
        <f>H28*IS!H2/365</f>
        <v>1263.6732527755621</v>
      </c>
    </row>
    <row r="10" spans="1:8" x14ac:dyDescent="0.3">
      <c r="A10" t="s">
        <v>79</v>
      </c>
      <c r="B10" s="4">
        <f>BS!B24</f>
        <v>12</v>
      </c>
      <c r="C10" s="4">
        <f>BS!C24</f>
        <v>23</v>
      </c>
      <c r="D10" s="14">
        <f>D29*IS!D2/365</f>
        <v>18.30281643457992</v>
      </c>
      <c r="E10" s="14">
        <f>E29*IS!E2/365</f>
        <v>22.665370380959047</v>
      </c>
      <c r="F10" s="14">
        <f>F29*IS!F2/365</f>
        <v>22.893463981633452</v>
      </c>
      <c r="G10" s="14">
        <f>G29*IS!G2/365</f>
        <v>25.817119803026166</v>
      </c>
      <c r="H10" s="14">
        <f>H29*IS!H2/365</f>
        <v>27.820701135349275</v>
      </c>
    </row>
    <row r="11" spans="1:8" x14ac:dyDescent="0.3">
      <c r="A11" s="23" t="s">
        <v>93</v>
      </c>
      <c r="B11" s="4"/>
      <c r="C11" s="4"/>
    </row>
    <row r="12" spans="1:8" x14ac:dyDescent="0.3">
      <c r="A12" t="s">
        <v>107</v>
      </c>
      <c r="B12" s="4">
        <f>BS!B41</f>
        <v>250</v>
      </c>
      <c r="C12" s="4">
        <f>BS!C41</f>
        <v>263</v>
      </c>
      <c r="D12" s="14">
        <f>D32*IS!D2/365</f>
        <v>269.0288782467797</v>
      </c>
      <c r="E12" s="14">
        <f>E32*IS!E2/365</f>
        <v>291.26284428657135</v>
      </c>
      <c r="F12" s="14">
        <f>F32*IS!F2/365</f>
        <v>313.84906060159346</v>
      </c>
      <c r="G12" s="14">
        <f>G32*IS!G2/365</f>
        <v>342.46756282675989</v>
      </c>
      <c r="H12" s="14">
        <f>H32*IS!H2/365</f>
        <v>375.11360150531056</v>
      </c>
    </row>
    <row r="13" spans="1:8" x14ac:dyDescent="0.3">
      <c r="A13" t="s">
        <v>108</v>
      </c>
      <c r="B13" s="4">
        <f>BS!B42</f>
        <v>10236</v>
      </c>
      <c r="C13" s="4">
        <f>BS!C42</f>
        <v>11052</v>
      </c>
      <c r="D13" s="14">
        <f>D33*IS!D2/365</f>
        <v>11162.490429691428</v>
      </c>
      <c r="E13" s="14">
        <f>E33*IS!E2/365</f>
        <v>12162.947376984914</v>
      </c>
      <c r="F13" s="14">
        <f>F33*IS!F2/365</f>
        <v>13064.309180120063</v>
      </c>
      <c r="G13" s="14">
        <f>G33*IS!G2/365</f>
        <v>14278.448446688697</v>
      </c>
      <c r="H13" s="14">
        <f>H33*IS!H2/365</f>
        <v>15627.045744828278</v>
      </c>
    </row>
    <row r="14" spans="1:8" x14ac:dyDescent="0.3">
      <c r="A14" t="s">
        <v>97</v>
      </c>
      <c r="B14" s="4">
        <f>BS!B43</f>
        <v>868</v>
      </c>
      <c r="C14" s="4">
        <f>BS!C43</f>
        <v>1280</v>
      </c>
      <c r="D14" s="14">
        <f>D34*IS!D2/365</f>
        <v>1124.6222311341965</v>
      </c>
      <c r="E14" s="14">
        <f>E34*IS!E2/365</f>
        <v>1318.3312432364742</v>
      </c>
      <c r="F14" s="14">
        <f>F34*IS!F2/365</f>
        <v>1366.4834300498187</v>
      </c>
      <c r="G14" s="14">
        <f>G34*IS!G2/365</f>
        <v>1520.6490436039903</v>
      </c>
      <c r="H14" s="14">
        <f>H34*IS!H2/365</f>
        <v>1649.4319378026767</v>
      </c>
    </row>
    <row r="15" spans="1:8" x14ac:dyDescent="0.3">
      <c r="A15" t="s">
        <v>98</v>
      </c>
      <c r="B15" s="4">
        <f>BS!B44</f>
        <v>807</v>
      </c>
      <c r="C15" s="4">
        <f>BS!C44</f>
        <v>959</v>
      </c>
      <c r="D15" s="14">
        <f>D35*IS!D2/365</f>
        <v>925.57935835520288</v>
      </c>
      <c r="E15" s="14">
        <f>E35*IS!E2/365</f>
        <v>1032.2970372255165</v>
      </c>
      <c r="F15" s="14">
        <f>F35*IS!F2/365</f>
        <v>1096.1271106760962</v>
      </c>
      <c r="G15" s="14">
        <f>G35*IS!G2/365</f>
        <v>1204.9448223895852</v>
      </c>
      <c r="H15" s="14">
        <f>H35*IS!H2/365</f>
        <v>1314.9560134731221</v>
      </c>
    </row>
    <row r="16" spans="1:8" x14ac:dyDescent="0.3">
      <c r="A16" t="s">
        <v>99</v>
      </c>
      <c r="B16" s="4">
        <f>BS!B45</f>
        <v>340</v>
      </c>
      <c r="C16" s="4">
        <f>BS!C45</f>
        <v>675</v>
      </c>
      <c r="D16" s="14">
        <f>D36*IS!D2/365</f>
        <v>530.69943787437421</v>
      </c>
      <c r="E16" s="14">
        <f>E36*IS!E2/365</f>
        <v>661.71558825028569</v>
      </c>
      <c r="F16" s="14">
        <f>F36*IS!F2/365</f>
        <v>666.25318453914247</v>
      </c>
      <c r="G16" s="14">
        <f>G36*IS!G2/365</f>
        <v>752.57563468873263</v>
      </c>
      <c r="H16" s="14">
        <f>H36*IS!H2/365</f>
        <v>810.32552530677344</v>
      </c>
    </row>
    <row r="17" spans="1:9" x14ac:dyDescent="0.3">
      <c r="A17" t="s">
        <v>109</v>
      </c>
      <c r="B17" s="4">
        <f>BS!B46</f>
        <v>0</v>
      </c>
      <c r="C17" s="4">
        <f>BS!C46</f>
        <v>1903</v>
      </c>
      <c r="D17" s="14">
        <f>D37*IS!D2/365</f>
        <v>0</v>
      </c>
      <c r="E17" s="14">
        <f>E37*IS!E2/365</f>
        <v>1061.8791176081015</v>
      </c>
      <c r="F17" s="14">
        <f>F37*IS!F2/365</f>
        <v>574.32665248483045</v>
      </c>
      <c r="G17" s="14">
        <f>G37*IS!G2/365</f>
        <v>938.22923142450577</v>
      </c>
      <c r="H17" s="14">
        <f>H37*IS!H2/365</f>
        <v>857.2170872649599</v>
      </c>
      <c r="I17" s="14"/>
    </row>
    <row r="18" spans="1:9" x14ac:dyDescent="0.3">
      <c r="A18" s="45" t="s">
        <v>110</v>
      </c>
      <c r="B18" s="4">
        <f>SUM(B3:B10)-SUM(B12:B17)</f>
        <v>7998</v>
      </c>
      <c r="C18" s="4">
        <f t="shared" ref="C18:H18" si="1">SUM(C3:C10)-SUM(C12:C17)</f>
        <v>-152</v>
      </c>
      <c r="D18" s="4">
        <f t="shared" si="1"/>
        <v>4761.0043238402013</v>
      </c>
      <c r="E18" s="4">
        <f t="shared" si="1"/>
        <v>3960.9728381242567</v>
      </c>
      <c r="F18" s="4">
        <f t="shared" si="1"/>
        <v>5221.8189407409591</v>
      </c>
      <c r="G18" s="4">
        <f t="shared" si="1"/>
        <v>5517.6867838228936</v>
      </c>
      <c r="H18" s="4">
        <f t="shared" si="1"/>
        <v>6516.2224406618807</v>
      </c>
    </row>
    <row r="19" spans="1:9" x14ac:dyDescent="0.3">
      <c r="A19" s="45" t="s">
        <v>111</v>
      </c>
      <c r="C19" s="4">
        <f>C18-B18</f>
        <v>-8150</v>
      </c>
      <c r="D19" s="4">
        <f t="shared" ref="D19:H19" si="2">D18-C18</f>
        <v>4913.0043238402013</v>
      </c>
      <c r="E19" s="4">
        <f t="shared" si="2"/>
        <v>-800.03148571594465</v>
      </c>
      <c r="F19" s="4">
        <f t="shared" si="2"/>
        <v>1260.8461026167024</v>
      </c>
      <c r="G19" s="4">
        <f t="shared" si="2"/>
        <v>295.86784308193455</v>
      </c>
      <c r="H19" s="4">
        <f t="shared" si="2"/>
        <v>998.53565683898705</v>
      </c>
    </row>
    <row r="21" spans="1:9" x14ac:dyDescent="0.3">
      <c r="A21" s="23" t="s">
        <v>112</v>
      </c>
    </row>
    <row r="22" spans="1:9" x14ac:dyDescent="0.3">
      <c r="A22" t="s">
        <v>113</v>
      </c>
      <c r="B22" s="4">
        <f>B3/IS!B2*365</f>
        <v>23.717687734263926</v>
      </c>
      <c r="C22" s="4">
        <f>C3/IS!C2*365</f>
        <v>25.529934570111376</v>
      </c>
      <c r="D22" s="4">
        <f>AVERAGE(B22:C22)</f>
        <v>24.623811152187649</v>
      </c>
      <c r="E22" s="4">
        <f t="shared" ref="E22:H24" si="3">AVERAGE(C22:D22)</f>
        <v>25.076872861149511</v>
      </c>
      <c r="F22" s="4">
        <f t="shared" si="3"/>
        <v>24.85034200666858</v>
      </c>
      <c r="G22" s="4">
        <f t="shared" si="3"/>
        <v>24.963607433909047</v>
      </c>
      <c r="H22" s="4">
        <f t="shared" si="3"/>
        <v>24.906974720288815</v>
      </c>
    </row>
    <row r="23" spans="1:9" x14ac:dyDescent="0.3">
      <c r="A23" t="s">
        <v>67</v>
      </c>
      <c r="B23" s="4">
        <f>B4/IS!B2*365</f>
        <v>26.878473568566626</v>
      </c>
      <c r="C23" s="4">
        <f>C4/IS!C2*365</f>
        <v>21.690324931480806</v>
      </c>
      <c r="D23" s="4">
        <f t="shared" ref="D23:D24" si="4">AVERAGE(B23:C23)</f>
        <v>24.284399250023718</v>
      </c>
      <c r="E23" s="4">
        <f t="shared" si="3"/>
        <v>22.987362090752264</v>
      </c>
      <c r="F23" s="4">
        <f t="shared" si="3"/>
        <v>23.635880670387991</v>
      </c>
      <c r="G23" s="4">
        <f t="shared" si="3"/>
        <v>23.311621380570127</v>
      </c>
      <c r="H23" s="4">
        <f t="shared" si="3"/>
        <v>23.473751025479061</v>
      </c>
    </row>
    <row r="24" spans="1:9" x14ac:dyDescent="0.3">
      <c r="A24" t="s">
        <v>104</v>
      </c>
      <c r="B24" s="4">
        <f>B5/IS!B2*365</f>
        <v>17.673274525009692</v>
      </c>
      <c r="C24" s="4">
        <f>C5/IS!C2*365</f>
        <v>22.08353796676225</v>
      </c>
      <c r="D24" s="4">
        <f t="shared" si="4"/>
        <v>19.878406245885969</v>
      </c>
      <c r="E24" s="4">
        <f t="shared" si="3"/>
        <v>20.98097210632411</v>
      </c>
      <c r="F24" s="4">
        <f t="shared" si="3"/>
        <v>20.42968917610504</v>
      </c>
      <c r="G24" s="4">
        <f t="shared" si="3"/>
        <v>20.705330641214573</v>
      </c>
      <c r="H24" s="4">
        <f t="shared" si="3"/>
        <v>20.567509908659808</v>
      </c>
    </row>
    <row r="25" spans="1:9" x14ac:dyDescent="0.3">
      <c r="A25" t="s">
        <v>77</v>
      </c>
      <c r="B25" s="4">
        <f>B6/IS!B2*365</f>
        <v>39.710320537676104</v>
      </c>
      <c r="C25" s="4">
        <f>C6/IS!C2*365</f>
        <v>8.5755136959173655</v>
      </c>
      <c r="D25" s="4">
        <v>22</v>
      </c>
      <c r="E25" s="4">
        <v>23</v>
      </c>
      <c r="F25" s="4">
        <v>24</v>
      </c>
      <c r="G25" s="4">
        <v>25</v>
      </c>
      <c r="H25" s="4">
        <v>26</v>
      </c>
    </row>
    <row r="26" spans="1:9" x14ac:dyDescent="0.3">
      <c r="A26" t="s">
        <v>68</v>
      </c>
      <c r="B26" s="4">
        <f>B7/IS!B2*365</f>
        <v>0.2240855628796691</v>
      </c>
      <c r="C26" s="4">
        <f>C7/IS!C2*365</f>
        <v>0.26599705327862361</v>
      </c>
      <c r="D26" s="4">
        <f>AVERAGE(B26:C26)</f>
        <v>0.24504130807914637</v>
      </c>
      <c r="E26" s="4">
        <f t="shared" ref="E26:H29" si="5">AVERAGE(C26:D26)</f>
        <v>0.25551918067888502</v>
      </c>
      <c r="F26" s="4">
        <f t="shared" si="5"/>
        <v>0.25028024437901569</v>
      </c>
      <c r="G26" s="4">
        <f t="shared" si="5"/>
        <v>0.25289971252895038</v>
      </c>
      <c r="H26" s="4">
        <f t="shared" si="5"/>
        <v>0.25158997845398301</v>
      </c>
    </row>
    <row r="27" spans="1:9" x14ac:dyDescent="0.3">
      <c r="A27" t="s">
        <v>78</v>
      </c>
      <c r="B27" s="4">
        <f>B8/IS!B2*365</f>
        <v>8.4032086079875921</v>
      </c>
      <c r="C27" s="4">
        <f>C8/IS!C2*365</f>
        <v>8.6044264190998234</v>
      </c>
      <c r="D27" s="4">
        <f t="shared" ref="D27:D29" si="6">AVERAGE(B27:C27)</f>
        <v>8.5038175135437086</v>
      </c>
      <c r="E27" s="4">
        <f t="shared" si="5"/>
        <v>8.554121966321766</v>
      </c>
      <c r="F27" s="4">
        <f t="shared" si="5"/>
        <v>8.5289697399327373</v>
      </c>
      <c r="G27" s="4">
        <f t="shared" si="5"/>
        <v>8.5415458531272517</v>
      </c>
      <c r="H27" s="4">
        <f t="shared" si="5"/>
        <v>8.5352577965299936</v>
      </c>
    </row>
    <row r="28" spans="1:9" x14ac:dyDescent="0.3">
      <c r="A28" t="s">
        <v>114</v>
      </c>
      <c r="B28" s="4">
        <f>B9/IS!B2*365</f>
        <v>4.2045527982422124</v>
      </c>
      <c r="C28" s="4">
        <f>C9/IS!C2*365</f>
        <v>5.5223301278496857</v>
      </c>
      <c r="D28" s="4">
        <f t="shared" si="6"/>
        <v>4.863441463045949</v>
      </c>
      <c r="E28" s="4">
        <f t="shared" si="5"/>
        <v>5.1928857954478174</v>
      </c>
      <c r="F28" s="4">
        <f t="shared" si="5"/>
        <v>5.0281636292468832</v>
      </c>
      <c r="G28" s="4">
        <f t="shared" si="5"/>
        <v>5.1105247123473507</v>
      </c>
      <c r="H28" s="4">
        <f t="shared" si="5"/>
        <v>5.069344170797117</v>
      </c>
    </row>
    <row r="29" spans="1:9" x14ac:dyDescent="0.3">
      <c r="A29" t="s">
        <v>79</v>
      </c>
      <c r="B29" s="4">
        <f>B10/IS!B2*365</f>
        <v>7.0763861962000768E-2</v>
      </c>
      <c r="C29" s="4">
        <f>C10/IS!C2*365</f>
        <v>0.1329985266393118</v>
      </c>
      <c r="D29" s="4">
        <f t="shared" si="6"/>
        <v>0.10188119430065629</v>
      </c>
      <c r="E29" s="4">
        <f t="shared" si="5"/>
        <v>0.11743986046998404</v>
      </c>
      <c r="F29" s="4">
        <f t="shared" si="5"/>
        <v>0.10966052738532017</v>
      </c>
      <c r="G29" s="4">
        <f t="shared" si="5"/>
        <v>0.11355019392765212</v>
      </c>
      <c r="H29" s="4">
        <f t="shared" si="5"/>
        <v>0.11160536065648614</v>
      </c>
    </row>
    <row r="30" spans="1:9" x14ac:dyDescent="0.3">
      <c r="B30" s="4"/>
      <c r="C30" s="4"/>
      <c r="D30" s="4"/>
      <c r="E30" s="4"/>
      <c r="F30" s="4"/>
      <c r="G30" s="4"/>
      <c r="H30" s="4"/>
    </row>
    <row r="31" spans="1:9" x14ac:dyDescent="0.3">
      <c r="A31" s="23" t="s">
        <v>115</v>
      </c>
      <c r="B31" s="4"/>
      <c r="C31" s="4"/>
      <c r="D31" s="4"/>
      <c r="E31" s="4"/>
      <c r="F31" s="4"/>
      <c r="G31" s="4"/>
      <c r="H31" s="4"/>
    </row>
    <row r="32" spans="1:9" x14ac:dyDescent="0.3">
      <c r="A32" t="s">
        <v>107</v>
      </c>
      <c r="B32" s="4">
        <f>B12/IS!B2*365</f>
        <v>1.4742471242083492</v>
      </c>
      <c r="C32" s="4">
        <f>C12/IS!C2*365</f>
        <v>1.520809239397348</v>
      </c>
      <c r="D32" s="4">
        <f>AVERAGE(B32:C32)</f>
        <v>1.4975281818028487</v>
      </c>
      <c r="E32" s="4">
        <f t="shared" ref="E32:H35" si="7">AVERAGE(C32:D32)</f>
        <v>1.5091687106000984</v>
      </c>
      <c r="F32" s="4">
        <f t="shared" si="7"/>
        <v>1.5033484462014735</v>
      </c>
      <c r="G32" s="4">
        <f t="shared" si="7"/>
        <v>1.5062585784007858</v>
      </c>
      <c r="H32" s="4">
        <f t="shared" si="7"/>
        <v>1.5048035123011296</v>
      </c>
    </row>
    <row r="33" spans="1:8" x14ac:dyDescent="0.3">
      <c r="A33" t="s">
        <v>116</v>
      </c>
      <c r="B33" s="4">
        <f>B13/IS!B2*365</f>
        <v>60.36157425358666</v>
      </c>
      <c r="C33" s="4">
        <f>C13/IS!C2*365</f>
        <v>63.908683322507571</v>
      </c>
      <c r="D33" s="4">
        <f t="shared" ref="D33:D35" si="8">AVERAGE(B33:C33)</f>
        <v>62.135128788047112</v>
      </c>
      <c r="E33" s="4">
        <f t="shared" si="7"/>
        <v>63.021906055277341</v>
      </c>
      <c r="F33" s="4">
        <f t="shared" si="7"/>
        <v>62.578517421662227</v>
      </c>
      <c r="G33" s="4">
        <f t="shared" si="7"/>
        <v>62.800211738469784</v>
      </c>
      <c r="H33" s="4">
        <f t="shared" si="7"/>
        <v>62.689364580066005</v>
      </c>
    </row>
    <row r="34" spans="1:8" x14ac:dyDescent="0.3">
      <c r="A34" t="s">
        <v>117</v>
      </c>
      <c r="B34" s="4">
        <f>B14/IS!B2*365</f>
        <v>5.1185860152513891</v>
      </c>
      <c r="C34" s="4">
        <f>C14/IS!C2*365</f>
        <v>7.4016571347095255</v>
      </c>
      <c r="D34" s="4">
        <f t="shared" si="8"/>
        <v>6.2601215749804577</v>
      </c>
      <c r="E34" s="4">
        <f t="shared" si="7"/>
        <v>6.8308893548449916</v>
      </c>
      <c r="F34" s="4">
        <f t="shared" si="7"/>
        <v>6.5455054649127247</v>
      </c>
      <c r="G34" s="4">
        <f t="shared" si="7"/>
        <v>6.6881974098788586</v>
      </c>
      <c r="H34" s="4">
        <f t="shared" si="7"/>
        <v>6.6168514373957912</v>
      </c>
    </row>
    <row r="35" spans="1:8" x14ac:dyDescent="0.3">
      <c r="A35" t="s">
        <v>98</v>
      </c>
      <c r="B35" s="4">
        <f>B15/IS!B2*365</f>
        <v>4.7588697169445524</v>
      </c>
      <c r="C35" s="4">
        <f>C15/IS!C2*365</f>
        <v>5.5454603063956522</v>
      </c>
      <c r="D35" s="4">
        <f t="shared" si="8"/>
        <v>5.1521650116701023</v>
      </c>
      <c r="E35" s="4">
        <f t="shared" si="7"/>
        <v>5.3488126590328768</v>
      </c>
      <c r="F35" s="4">
        <f t="shared" si="7"/>
        <v>5.25048883535149</v>
      </c>
      <c r="G35" s="4">
        <f t="shared" si="7"/>
        <v>5.2996507471921834</v>
      </c>
      <c r="H35" s="4">
        <f t="shared" si="7"/>
        <v>5.2750697912718367</v>
      </c>
    </row>
    <row r="36" spans="1:8" x14ac:dyDescent="0.3">
      <c r="A36" t="s">
        <v>99</v>
      </c>
      <c r="B36" s="4">
        <f>B16/IS!B2*365</f>
        <v>2.0049760889233554</v>
      </c>
      <c r="C36" s="4">
        <f>C16/IS!C2*365</f>
        <v>3.9032176296319765</v>
      </c>
      <c r="D36" s="4">
        <f>AVERAGE(B36:C36)</f>
        <v>2.9540968592776657</v>
      </c>
      <c r="E36" s="4">
        <f t="shared" ref="E36:H37" si="9">AVERAGE(C36:D36)</f>
        <v>3.4286572444548211</v>
      </c>
      <c r="F36" s="4">
        <f t="shared" si="9"/>
        <v>3.1913770518662434</v>
      </c>
      <c r="G36" s="4">
        <f t="shared" si="9"/>
        <v>3.3100171481605321</v>
      </c>
      <c r="H36" s="4">
        <f t="shared" si="9"/>
        <v>3.2506971000133875</v>
      </c>
    </row>
    <row r="37" spans="1:8" x14ac:dyDescent="0.3">
      <c r="A37" t="s">
        <v>109</v>
      </c>
      <c r="B37" s="4">
        <f>B17/IS!B2*365</f>
        <v>0</v>
      </c>
      <c r="C37" s="4">
        <f>C17/IS!C2*365</f>
        <v>11.004182443243927</v>
      </c>
      <c r="D37" s="4">
        <f>0</f>
        <v>0</v>
      </c>
      <c r="E37" s="4">
        <f t="shared" si="9"/>
        <v>5.5020912216219635</v>
      </c>
      <c r="F37" s="4">
        <f t="shared" si="9"/>
        <v>2.7510456108109818</v>
      </c>
      <c r="G37" s="4">
        <f t="shared" si="9"/>
        <v>4.1265684162164726</v>
      </c>
      <c r="H37" s="4">
        <f t="shared" si="9"/>
        <v>3.4388070135137272</v>
      </c>
    </row>
    <row r="39" spans="1:8" x14ac:dyDescent="0.3">
      <c r="A39" s="81" t="s">
        <v>237</v>
      </c>
    </row>
    <row r="40" spans="1:8" x14ac:dyDescent="0.3">
      <c r="A40" t="s">
        <v>244</v>
      </c>
      <c r="B40" s="4">
        <f>BS!B12</f>
        <v>10</v>
      </c>
      <c r="C40" s="4">
        <f>BS!C12</f>
        <v>17</v>
      </c>
      <c r="D40" s="4">
        <f>BS!D12</f>
        <v>17</v>
      </c>
      <c r="E40" s="4">
        <f>BS!E12</f>
        <v>17</v>
      </c>
      <c r="F40" s="4">
        <f>BS!F12</f>
        <v>17</v>
      </c>
      <c r="G40" s="4">
        <f>BS!G12</f>
        <v>17</v>
      </c>
      <c r="H40" s="4">
        <f>BS!H12</f>
        <v>17</v>
      </c>
    </row>
    <row r="41" spans="1:8" x14ac:dyDescent="0.3">
      <c r="A41" t="s">
        <v>238</v>
      </c>
      <c r="B41" s="4">
        <f>BS!B11</f>
        <v>760</v>
      </c>
      <c r="C41" s="4">
        <f>BS!C11</f>
        <v>763</v>
      </c>
      <c r="D41" s="4">
        <f>BS!D11</f>
        <v>763</v>
      </c>
      <c r="E41" s="4">
        <f>BS!E11</f>
        <v>763</v>
      </c>
      <c r="F41" s="4">
        <f>BS!F11</f>
        <v>763</v>
      </c>
      <c r="G41" s="4">
        <f t="shared" ref="D41:H41" si="10">F41</f>
        <v>763</v>
      </c>
      <c r="H41" s="4">
        <f t="shared" si="10"/>
        <v>763</v>
      </c>
    </row>
    <row r="42" spans="1:8" x14ac:dyDescent="0.3">
      <c r="A42" s="84" t="s">
        <v>239</v>
      </c>
      <c r="B42" s="4">
        <f>B40+B41</f>
        <v>770</v>
      </c>
      <c r="C42" s="4">
        <f>C40+C41</f>
        <v>780</v>
      </c>
      <c r="D42" s="4">
        <f t="shared" ref="D42:H42" si="11">D40+D41</f>
        <v>780</v>
      </c>
      <c r="E42" s="4">
        <f t="shared" si="11"/>
        <v>780</v>
      </c>
      <c r="F42" s="4">
        <f t="shared" si="11"/>
        <v>780</v>
      </c>
      <c r="G42" s="4">
        <f t="shared" si="11"/>
        <v>780</v>
      </c>
      <c r="H42" s="4">
        <f t="shared" si="11"/>
        <v>780</v>
      </c>
    </row>
    <row r="43" spans="1:8" x14ac:dyDescent="0.3">
      <c r="A43" s="83" t="s">
        <v>240</v>
      </c>
      <c r="B43" s="4"/>
      <c r="C43" s="4">
        <f>B42-C42</f>
        <v>-10</v>
      </c>
      <c r="D43" s="4">
        <f t="shared" ref="D43:F43" si="12">C42-D42</f>
        <v>0</v>
      </c>
      <c r="E43" s="4">
        <f t="shared" si="12"/>
        <v>0</v>
      </c>
      <c r="F43" s="4">
        <f t="shared" si="12"/>
        <v>0</v>
      </c>
      <c r="G43" s="4"/>
      <c r="H43" s="4"/>
    </row>
    <row r="44" spans="1:8" x14ac:dyDescent="0.3">
      <c r="B44" s="4"/>
      <c r="C44" s="4"/>
      <c r="D44" s="4"/>
      <c r="E44" s="4"/>
      <c r="F44" s="4"/>
      <c r="G44" s="4"/>
      <c r="H44" s="4"/>
    </row>
    <row r="45" spans="1:8" x14ac:dyDescent="0.3">
      <c r="A45" t="s">
        <v>245</v>
      </c>
      <c r="B45" s="4">
        <f>BS!B36</f>
        <v>6557</v>
      </c>
      <c r="C45" s="4">
        <f>BS!C36</f>
        <v>6685</v>
      </c>
      <c r="D45" s="4">
        <f>BS!D36</f>
        <v>6685</v>
      </c>
      <c r="E45" s="4">
        <f>BS!E36</f>
        <v>6685</v>
      </c>
      <c r="F45" s="4">
        <f>BS!F36</f>
        <v>6685</v>
      </c>
      <c r="G45" s="4">
        <f t="shared" ref="D45:H45" si="13">F45</f>
        <v>6685</v>
      </c>
      <c r="H45" s="4">
        <f t="shared" si="13"/>
        <v>6685</v>
      </c>
    </row>
    <row r="46" spans="1:8" x14ac:dyDescent="0.3">
      <c r="A46" t="s">
        <v>241</v>
      </c>
      <c r="B46" s="4">
        <f>BS!B34</f>
        <v>718</v>
      </c>
      <c r="C46" s="4">
        <f>BS!C34</f>
        <v>680</v>
      </c>
      <c r="D46" s="4">
        <f>BS!D34</f>
        <v>680</v>
      </c>
      <c r="E46" s="4">
        <f>BS!E34</f>
        <v>680</v>
      </c>
      <c r="F46" s="4">
        <f>BS!F34</f>
        <v>680</v>
      </c>
      <c r="G46" s="4">
        <f t="shared" ref="D46:H46" si="14">F46</f>
        <v>680</v>
      </c>
      <c r="H46" s="4">
        <f t="shared" si="14"/>
        <v>680</v>
      </c>
    </row>
    <row r="47" spans="1:8" x14ac:dyDescent="0.3">
      <c r="A47" s="84" t="s">
        <v>242</v>
      </c>
      <c r="B47" s="4">
        <f>B45+B46</f>
        <v>7275</v>
      </c>
      <c r="C47" s="4">
        <f t="shared" ref="C47:H47" si="15">C45+C46</f>
        <v>7365</v>
      </c>
      <c r="D47" s="4">
        <f t="shared" ref="D47" si="16">D45+D46</f>
        <v>7365</v>
      </c>
      <c r="E47" s="4">
        <f t="shared" ref="E47" si="17">E45+E46</f>
        <v>7365</v>
      </c>
      <c r="F47" s="4">
        <f t="shared" ref="F47" si="18">F45+F46</f>
        <v>7365</v>
      </c>
      <c r="G47" s="4">
        <f t="shared" ref="G47" si="19">G45+G46</f>
        <v>7365</v>
      </c>
      <c r="H47" s="4">
        <f t="shared" ref="H47" si="20">H45+H46</f>
        <v>7365</v>
      </c>
    </row>
    <row r="48" spans="1:8" x14ac:dyDescent="0.3">
      <c r="A48" s="82" t="s">
        <v>243</v>
      </c>
      <c r="B48" s="4"/>
      <c r="C48" s="4">
        <f>B47-C47</f>
        <v>-90</v>
      </c>
      <c r="D48" s="4">
        <f t="shared" ref="D48:F48" si="21">C47-D47</f>
        <v>0</v>
      </c>
      <c r="E48" s="4">
        <f t="shared" si="21"/>
        <v>0</v>
      </c>
      <c r="F48" s="4">
        <f t="shared" si="21"/>
        <v>0</v>
      </c>
      <c r="G48" s="4"/>
      <c r="H48" s="4"/>
    </row>
    <row r="49" spans="1:8" x14ac:dyDescent="0.3">
      <c r="B49" s="4"/>
      <c r="C49" s="4"/>
      <c r="D49" s="4"/>
      <c r="E49" s="4"/>
      <c r="F49" s="4"/>
      <c r="G49" s="4"/>
      <c r="H49" s="4"/>
    </row>
    <row r="50" spans="1:8" x14ac:dyDescent="0.3">
      <c r="A50" s="56" t="s">
        <v>246</v>
      </c>
      <c r="B50" s="4"/>
      <c r="C50" s="4">
        <f>C48+C43</f>
        <v>-100</v>
      </c>
      <c r="D50" s="4">
        <f t="shared" ref="D50:H50" si="22">D48+D43</f>
        <v>0</v>
      </c>
      <c r="E50" s="4">
        <f t="shared" si="22"/>
        <v>0</v>
      </c>
      <c r="F50" s="4">
        <f t="shared" si="22"/>
        <v>0</v>
      </c>
      <c r="G50" s="4">
        <f t="shared" si="22"/>
        <v>0</v>
      </c>
      <c r="H50" s="4">
        <f t="shared" si="2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1629-BBA9-4EDD-91F5-04009CCE9011}">
  <dimension ref="A1:H34"/>
  <sheetViews>
    <sheetView zoomScale="85" zoomScaleNormal="85" workbookViewId="0">
      <selection activeCell="H28" sqref="H28"/>
    </sheetView>
  </sheetViews>
  <sheetFormatPr defaultRowHeight="14.4" x14ac:dyDescent="0.3"/>
  <cols>
    <col min="1" max="1" width="36.44140625" customWidth="1"/>
    <col min="2" max="2" width="14.77734375" customWidth="1"/>
    <col min="3" max="3" width="14.109375" customWidth="1"/>
    <col min="4" max="4" width="15.44140625" customWidth="1"/>
    <col min="5" max="5" width="15.77734375" customWidth="1"/>
    <col min="6" max="6" width="14.21875" customWidth="1"/>
    <col min="7" max="7" width="14.88671875" customWidth="1"/>
    <col min="8" max="8" width="14.44140625" customWidth="1"/>
  </cols>
  <sheetData>
    <row r="1" spans="1:8" x14ac:dyDescent="0.3">
      <c r="A1" s="1" t="s">
        <v>118</v>
      </c>
      <c r="B1" s="24">
        <v>2024</v>
      </c>
      <c r="C1" s="24">
        <f>B1+1</f>
        <v>2025</v>
      </c>
      <c r="D1" s="25">
        <v>2026</v>
      </c>
      <c r="E1" s="25">
        <f>D1+1</f>
        <v>2027</v>
      </c>
      <c r="F1" s="25">
        <f t="shared" ref="F1:H1" si="0">E1+1</f>
        <v>2028</v>
      </c>
      <c r="G1" s="25">
        <f t="shared" si="0"/>
        <v>2029</v>
      </c>
      <c r="H1" s="25">
        <f t="shared" si="0"/>
        <v>2030</v>
      </c>
    </row>
    <row r="2" spans="1:8" x14ac:dyDescent="0.3">
      <c r="A2" s="26" t="s">
        <v>119</v>
      </c>
      <c r="B2" s="4">
        <f>BS!B4</f>
        <v>8031</v>
      </c>
      <c r="C2" s="4">
        <f>BS!C4</f>
        <v>8625</v>
      </c>
      <c r="D2" s="4">
        <f>D3+D4</f>
        <v>7887.5505398156811</v>
      </c>
      <c r="E2" s="4">
        <f t="shared" ref="E2:H2" si="1">E3+E4</f>
        <v>7111.7964052471152</v>
      </c>
      <c r="F2" s="4">
        <f t="shared" si="1"/>
        <v>6296.5388611612561</v>
      </c>
      <c r="G2" s="4">
        <f t="shared" si="1"/>
        <v>5440.5416583111191</v>
      </c>
      <c r="H2" s="4">
        <f t="shared" si="1"/>
        <v>4542.5298593410389</v>
      </c>
    </row>
    <row r="3" spans="1:8" x14ac:dyDescent="0.3">
      <c r="A3" s="29" t="s">
        <v>120</v>
      </c>
      <c r="B3" s="4">
        <v>6517</v>
      </c>
      <c r="C3" s="4">
        <v>6941</v>
      </c>
      <c r="D3" s="4">
        <f>D18</f>
        <v>6342.6419672173897</v>
      </c>
      <c r="E3" s="4">
        <f t="shared" ref="E3:H3" si="2">E18</f>
        <v>5713.2376844694463</v>
      </c>
      <c r="F3" s="4">
        <f t="shared" si="2"/>
        <v>5051.8155671863751</v>
      </c>
      <c r="G3" s="4">
        <f t="shared" si="2"/>
        <v>4357.3736253040806</v>
      </c>
      <c r="H3" s="4">
        <f t="shared" si="2"/>
        <v>3628.8785117318912</v>
      </c>
    </row>
    <row r="4" spans="1:8" x14ac:dyDescent="0.3">
      <c r="A4" s="29" t="s">
        <v>121</v>
      </c>
      <c r="B4" s="4">
        <v>1514</v>
      </c>
      <c r="C4" s="4">
        <v>1684</v>
      </c>
      <c r="D4" s="4">
        <f t="shared" ref="D4:H5" si="3">D19</f>
        <v>1544.9085725982911</v>
      </c>
      <c r="E4" s="4">
        <f t="shared" si="3"/>
        <v>1398.5587207776687</v>
      </c>
      <c r="F4" s="4">
        <f t="shared" si="3"/>
        <v>1244.7232939748815</v>
      </c>
      <c r="G4" s="4">
        <f t="shared" si="3"/>
        <v>1083.1680330070385</v>
      </c>
      <c r="H4" s="4">
        <f t="shared" si="3"/>
        <v>913.65134760914725</v>
      </c>
    </row>
    <row r="5" spans="1:8" x14ac:dyDescent="0.3">
      <c r="A5" s="26" t="s">
        <v>122</v>
      </c>
      <c r="B5" s="4">
        <f>BS!B7</f>
        <v>28247</v>
      </c>
      <c r="C5" s="4">
        <f>BS!C7</f>
        <v>28243</v>
      </c>
      <c r="D5" s="4">
        <f t="shared" si="3"/>
        <v>29422.397702597362</v>
      </c>
      <c r="E5" s="4">
        <f t="shared" si="3"/>
        <v>30638.283364452858</v>
      </c>
      <c r="F5" s="4">
        <f t="shared" si="3"/>
        <v>31891.798867057438</v>
      </c>
      <c r="G5" s="4">
        <f t="shared" si="3"/>
        <v>33184.121826795563</v>
      </c>
      <c r="H5" s="4">
        <f t="shared" si="3"/>
        <v>34516.466713259739</v>
      </c>
    </row>
    <row r="6" spans="1:8" x14ac:dyDescent="0.3">
      <c r="B6" s="17"/>
    </row>
    <row r="7" spans="1:8" x14ac:dyDescent="0.3">
      <c r="A7" s="1" t="s">
        <v>123</v>
      </c>
      <c r="B7" s="4">
        <f>SUM(B8:B10)</f>
        <v>41985</v>
      </c>
      <c r="C7" s="4">
        <f t="shared" ref="C7" si="4">SUM(C8:C10)</f>
        <v>43298</v>
      </c>
      <c r="D7" s="4">
        <f>C7+D25</f>
        <v>45153</v>
      </c>
      <c r="E7" s="4">
        <f t="shared" ref="E7:H7" si="5">D7+E25</f>
        <v>47066.051757586953</v>
      </c>
      <c r="F7" s="4">
        <f t="shared" si="5"/>
        <v>49038.971987886973</v>
      </c>
      <c r="G7" s="4">
        <f t="shared" si="5"/>
        <v>51073.634259668273</v>
      </c>
      <c r="H7" s="4">
        <f t="shared" si="5"/>
        <v>53171.970774561581</v>
      </c>
    </row>
    <row r="8" spans="1:8" x14ac:dyDescent="0.3">
      <c r="A8" t="s">
        <v>120</v>
      </c>
      <c r="B8" s="4">
        <v>10999</v>
      </c>
      <c r="C8" s="4">
        <v>12004</v>
      </c>
      <c r="D8" s="4">
        <f>$C8/$C$7*D$7</f>
        <v>12518.282876807243</v>
      </c>
      <c r="E8" s="4">
        <f t="shared" ref="E8:H10" si="6">$C8/$C$7*E$7</f>
        <v>13048.660106657901</v>
      </c>
      <c r="F8" s="4">
        <f t="shared" si="6"/>
        <v>13595.6353582751</v>
      </c>
      <c r="G8" s="4">
        <f t="shared" si="6"/>
        <v>14159.728062567739</v>
      </c>
      <c r="H8" s="4">
        <f t="shared" si="6"/>
        <v>14741.473905904135</v>
      </c>
    </row>
    <row r="9" spans="1:8" x14ac:dyDescent="0.3">
      <c r="A9" t="s">
        <v>121</v>
      </c>
      <c r="B9" s="4">
        <v>2580</v>
      </c>
      <c r="C9" s="4">
        <v>2878</v>
      </c>
      <c r="D9" s="4">
        <f t="shared" ref="D9:D10" si="7">$C9/$C$7*D$7</f>
        <v>3001.301076262183</v>
      </c>
      <c r="E9" s="4">
        <f t="shared" si="6"/>
        <v>3128.4608286372409</v>
      </c>
      <c r="F9" s="4">
        <f t="shared" si="6"/>
        <v>3259.600013421837</v>
      </c>
      <c r="G9" s="4">
        <f t="shared" si="6"/>
        <v>3394.8431659505122</v>
      </c>
      <c r="H9" s="4">
        <f t="shared" si="6"/>
        <v>3534.3187188597217</v>
      </c>
    </row>
    <row r="10" spans="1:8" x14ac:dyDescent="0.3">
      <c r="A10" t="s">
        <v>131</v>
      </c>
      <c r="B10" s="4">
        <v>28406</v>
      </c>
      <c r="C10" s="4">
        <v>28416</v>
      </c>
      <c r="D10" s="4">
        <f t="shared" si="7"/>
        <v>29633.416046930572</v>
      </c>
      <c r="E10" s="4">
        <f t="shared" si="6"/>
        <v>30888.930822291808</v>
      </c>
      <c r="F10" s="4">
        <f t="shared" si="6"/>
        <v>32183.736616190035</v>
      </c>
      <c r="G10" s="4">
        <f t="shared" si="6"/>
        <v>33519.063031150021</v>
      </c>
      <c r="H10" s="4">
        <f t="shared" si="6"/>
        <v>34896.178149797721</v>
      </c>
    </row>
    <row r="11" spans="1:8" x14ac:dyDescent="0.3">
      <c r="B11" s="4"/>
      <c r="C11" s="4"/>
    </row>
    <row r="12" spans="1:8" x14ac:dyDescent="0.3">
      <c r="A12" s="1" t="s">
        <v>124</v>
      </c>
      <c r="B12" s="4">
        <f>SUM(B13:B15)</f>
        <v>5504</v>
      </c>
      <c r="C12" s="4">
        <f>SUM(C13:C15)</f>
        <v>6430</v>
      </c>
      <c r="D12" s="4">
        <f>C12+D22</f>
        <v>7843.0517575869553</v>
      </c>
      <c r="E12" s="4">
        <f t="shared" ref="E12:H12" si="8">D12+E22</f>
        <v>9315.9719878869764</v>
      </c>
      <c r="F12" s="4">
        <f t="shared" si="8"/>
        <v>10850.634259668279</v>
      </c>
      <c r="G12" s="4">
        <f t="shared" si="8"/>
        <v>12448.970774561589</v>
      </c>
      <c r="H12" s="4">
        <f t="shared" si="8"/>
        <v>14112.974201960798</v>
      </c>
    </row>
    <row r="13" spans="1:8" x14ac:dyDescent="0.3">
      <c r="A13" t="s">
        <v>120</v>
      </c>
      <c r="B13" s="4">
        <v>4482</v>
      </c>
      <c r="C13" s="4">
        <v>5063</v>
      </c>
      <c r="D13" s="4">
        <f>$C13/$C$12*D$12</f>
        <v>6175.6409095898534</v>
      </c>
      <c r="E13" s="4">
        <f t="shared" ref="E13:H13" si="9">$C13/$C$12*E$12</f>
        <v>7335.4224221884542</v>
      </c>
      <c r="F13" s="4">
        <f t="shared" si="9"/>
        <v>8543.8197910887247</v>
      </c>
      <c r="G13" s="4">
        <f t="shared" si="9"/>
        <v>9802.3544372636588</v>
      </c>
      <c r="H13" s="4">
        <f t="shared" si="9"/>
        <v>11112.595394172244</v>
      </c>
    </row>
    <row r="14" spans="1:8" x14ac:dyDescent="0.3">
      <c r="A14" t="s">
        <v>121</v>
      </c>
      <c r="B14" s="4">
        <v>863</v>
      </c>
      <c r="C14" s="4">
        <v>1194</v>
      </c>
      <c r="D14" s="4">
        <f t="shared" ref="D14:H15" si="10">$C14/$C$12*D$12</f>
        <v>1456.3925036638918</v>
      </c>
      <c r="E14" s="4">
        <f t="shared" si="10"/>
        <v>1729.9021078595722</v>
      </c>
      <c r="F14" s="4">
        <f t="shared" si="10"/>
        <v>2014.8767194469556</v>
      </c>
      <c r="G14" s="4">
        <f t="shared" si="10"/>
        <v>2311.6751329434737</v>
      </c>
      <c r="H14" s="4">
        <f t="shared" si="10"/>
        <v>2620.6673712505744</v>
      </c>
    </row>
    <row r="15" spans="1:8" x14ac:dyDescent="0.3">
      <c r="A15" t="s">
        <v>65</v>
      </c>
      <c r="B15" s="4">
        <v>159</v>
      </c>
      <c r="C15" s="4">
        <v>173</v>
      </c>
      <c r="D15" s="4">
        <f t="shared" si="10"/>
        <v>211.01834433321045</v>
      </c>
      <c r="E15" s="4">
        <f t="shared" si="10"/>
        <v>250.64745783894975</v>
      </c>
      <c r="F15" s="4">
        <f t="shared" si="10"/>
        <v>291.93774913259909</v>
      </c>
      <c r="G15" s="4">
        <f t="shared" si="10"/>
        <v>334.94120435445643</v>
      </c>
      <c r="H15" s="4">
        <f t="shared" si="10"/>
        <v>379.711436537981</v>
      </c>
    </row>
    <row r="16" spans="1:8" x14ac:dyDescent="0.3">
      <c r="B16" s="4"/>
    </row>
    <row r="17" spans="1:8" x14ac:dyDescent="0.3">
      <c r="A17" s="1" t="s">
        <v>125</v>
      </c>
      <c r="B17" s="4">
        <f>SUM(B18:B20)</f>
        <v>36481</v>
      </c>
      <c r="C17" s="4">
        <f>SUM(C18:C20)</f>
        <v>36868</v>
      </c>
      <c r="D17" s="4">
        <f>D7-D12</f>
        <v>37309.948242413047</v>
      </c>
      <c r="E17" s="4">
        <f t="shared" ref="E17:H17" si="11">E7-E12</f>
        <v>37750.07976969998</v>
      </c>
      <c r="F17" s="4">
        <f t="shared" si="11"/>
        <v>38188.337728218692</v>
      </c>
      <c r="G17" s="4">
        <f t="shared" si="11"/>
        <v>38624.663485106685</v>
      </c>
      <c r="H17" s="4">
        <f t="shared" si="11"/>
        <v>39058.996572600779</v>
      </c>
    </row>
    <row r="18" spans="1:8" x14ac:dyDescent="0.3">
      <c r="A18" t="s">
        <v>120</v>
      </c>
      <c r="B18" s="4">
        <f t="shared" ref="B18:D20" si="12">B8-B13</f>
        <v>6517</v>
      </c>
      <c r="C18" s="4">
        <f t="shared" si="12"/>
        <v>6941</v>
      </c>
      <c r="D18" s="4">
        <f t="shared" si="12"/>
        <v>6342.6419672173897</v>
      </c>
      <c r="E18" s="4">
        <f t="shared" ref="E18:H18" si="13">E8-E13</f>
        <v>5713.2376844694463</v>
      </c>
      <c r="F18" s="4">
        <f t="shared" si="13"/>
        <v>5051.8155671863751</v>
      </c>
      <c r="G18" s="4">
        <f t="shared" si="13"/>
        <v>4357.3736253040806</v>
      </c>
      <c r="H18" s="4">
        <f t="shared" si="13"/>
        <v>3628.8785117318912</v>
      </c>
    </row>
    <row r="19" spans="1:8" x14ac:dyDescent="0.3">
      <c r="A19" t="s">
        <v>121</v>
      </c>
      <c r="B19" s="4">
        <f t="shared" si="12"/>
        <v>1717</v>
      </c>
      <c r="C19" s="4">
        <f t="shared" si="12"/>
        <v>1684</v>
      </c>
      <c r="D19" s="4">
        <f t="shared" si="12"/>
        <v>1544.9085725982911</v>
      </c>
      <c r="E19" s="4">
        <f t="shared" ref="E19:H19" si="14">E9-E14</f>
        <v>1398.5587207776687</v>
      </c>
      <c r="F19" s="4">
        <f t="shared" si="14"/>
        <v>1244.7232939748815</v>
      </c>
      <c r="G19" s="4">
        <f t="shared" si="14"/>
        <v>1083.1680330070385</v>
      </c>
      <c r="H19" s="4">
        <f t="shared" si="14"/>
        <v>913.65134760914725</v>
      </c>
    </row>
    <row r="20" spans="1:8" x14ac:dyDescent="0.3">
      <c r="A20" t="s">
        <v>65</v>
      </c>
      <c r="B20" s="4">
        <f t="shared" si="12"/>
        <v>28247</v>
      </c>
      <c r="C20" s="4">
        <f t="shared" si="12"/>
        <v>28243</v>
      </c>
      <c r="D20" s="4">
        <f t="shared" si="12"/>
        <v>29422.397702597362</v>
      </c>
      <c r="E20" s="4">
        <f t="shared" ref="E20:H20" si="15">E10-E15</f>
        <v>30638.283364452858</v>
      </c>
      <c r="F20" s="4">
        <f t="shared" si="15"/>
        <v>31891.798867057438</v>
      </c>
      <c r="G20" s="4">
        <f t="shared" si="15"/>
        <v>33184.121826795563</v>
      </c>
      <c r="H20" s="4">
        <f t="shared" si="15"/>
        <v>34516.466713259739</v>
      </c>
    </row>
    <row r="21" spans="1:8" x14ac:dyDescent="0.3">
      <c r="B21" s="4"/>
      <c r="C21" s="4"/>
    </row>
    <row r="22" spans="1:8" x14ac:dyDescent="0.3">
      <c r="A22" s="23" t="s">
        <v>126</v>
      </c>
      <c r="B22" s="4">
        <f>IS!B10</f>
        <v>1216</v>
      </c>
      <c r="C22" s="4">
        <f>IS!C10</f>
        <v>1355</v>
      </c>
      <c r="D22" s="4">
        <f>D7*D23</f>
        <v>1413.0517575869555</v>
      </c>
      <c r="E22" s="4">
        <f t="shared" ref="E22:H22" si="16">E7*E23</f>
        <v>1472.9202303000213</v>
      </c>
      <c r="F22" s="4">
        <f t="shared" si="16"/>
        <v>1534.6622717813029</v>
      </c>
      <c r="G22" s="4">
        <f t="shared" si="16"/>
        <v>1598.3365148933096</v>
      </c>
      <c r="H22" s="4">
        <f t="shared" si="16"/>
        <v>1664.0034273992089</v>
      </c>
    </row>
    <row r="23" spans="1:8" x14ac:dyDescent="0.3">
      <c r="A23" s="29" t="s">
        <v>127</v>
      </c>
      <c r="B23" s="8">
        <f>B22/B7</f>
        <v>2.8962724782660473E-2</v>
      </c>
      <c r="C23" s="8">
        <f>C22/C7</f>
        <v>3.129474802531295E-2</v>
      </c>
      <c r="D23" s="12">
        <f>C23</f>
        <v>3.129474802531295E-2</v>
      </c>
      <c r="E23" s="12">
        <f t="shared" ref="E23:H23" si="17">D23</f>
        <v>3.129474802531295E-2</v>
      </c>
      <c r="F23" s="12">
        <f t="shared" si="17"/>
        <v>3.129474802531295E-2</v>
      </c>
      <c r="G23" s="12">
        <f t="shared" si="17"/>
        <v>3.129474802531295E-2</v>
      </c>
      <c r="H23" s="12">
        <f t="shared" si="17"/>
        <v>3.129474802531295E-2</v>
      </c>
    </row>
    <row r="25" spans="1:8" x14ac:dyDescent="0.3">
      <c r="A25" s="23" t="s">
        <v>128</v>
      </c>
      <c r="C25" s="4">
        <f>SUM(C26:C27)</f>
        <v>2529</v>
      </c>
      <c r="D25" s="4">
        <f>SUM(D26:D27)</f>
        <v>1855</v>
      </c>
      <c r="E25" s="4">
        <f t="shared" ref="E25:H25" si="18">SUM(E26:E27)</f>
        <v>1913.0517575869555</v>
      </c>
      <c r="F25" s="4">
        <f t="shared" si="18"/>
        <v>1972.9202303000213</v>
      </c>
      <c r="G25" s="4">
        <f t="shared" si="18"/>
        <v>2034.6622717813029</v>
      </c>
      <c r="H25" s="4">
        <f t="shared" si="18"/>
        <v>2098.3365148933099</v>
      </c>
    </row>
    <row r="26" spans="1:8" x14ac:dyDescent="0.3">
      <c r="A26" s="26" t="s">
        <v>129</v>
      </c>
      <c r="B26" s="4"/>
      <c r="C26" s="4">
        <f t="shared" ref="C26:H26" si="19">B22</f>
        <v>1216</v>
      </c>
      <c r="D26" s="4">
        <f t="shared" si="19"/>
        <v>1355</v>
      </c>
      <c r="E26" s="4">
        <f t="shared" si="19"/>
        <v>1413.0517575869555</v>
      </c>
      <c r="F26" s="4">
        <f t="shared" si="19"/>
        <v>1472.9202303000213</v>
      </c>
      <c r="G26" s="4">
        <f t="shared" si="19"/>
        <v>1534.6622717813029</v>
      </c>
      <c r="H26" s="4">
        <f t="shared" si="19"/>
        <v>1598.3365148933096</v>
      </c>
    </row>
    <row r="27" spans="1:8" x14ac:dyDescent="0.3">
      <c r="A27" s="26" t="s">
        <v>130</v>
      </c>
      <c r="C27" s="4">
        <f>C7-B7</f>
        <v>1313</v>
      </c>
      <c r="D27" s="4">
        <f>500</f>
        <v>500</v>
      </c>
      <c r="E27" s="4">
        <f>500</f>
        <v>500</v>
      </c>
      <c r="F27" s="4">
        <f>500</f>
        <v>500</v>
      </c>
      <c r="G27" s="4">
        <f>500</f>
        <v>500</v>
      </c>
      <c r="H27" s="4">
        <f>500</f>
        <v>500</v>
      </c>
    </row>
    <row r="30" spans="1:8" x14ac:dyDescent="0.3">
      <c r="A30" t="s">
        <v>249</v>
      </c>
      <c r="C30" s="4">
        <f>B12</f>
        <v>5504</v>
      </c>
      <c r="D30" s="4">
        <f t="shared" ref="D30:H30" si="20">C12</f>
        <v>6430</v>
      </c>
      <c r="E30" s="4">
        <f t="shared" si="20"/>
        <v>7843.0517575869553</v>
      </c>
      <c r="F30" s="4">
        <f t="shared" si="20"/>
        <v>9315.9719878869764</v>
      </c>
      <c r="G30" s="4">
        <f t="shared" si="20"/>
        <v>10850.634259668279</v>
      </c>
      <c r="H30" s="4">
        <f t="shared" si="20"/>
        <v>12448.970774561589</v>
      </c>
    </row>
    <row r="31" spans="1:8" x14ac:dyDescent="0.3">
      <c r="A31" t="s">
        <v>251</v>
      </c>
      <c r="C31" s="4">
        <f>C22</f>
        <v>1355</v>
      </c>
      <c r="D31" s="4">
        <f t="shared" ref="D31:H31" si="21">D22</f>
        <v>1413.0517575869555</v>
      </c>
      <c r="E31" s="4">
        <f t="shared" si="21"/>
        <v>1472.9202303000213</v>
      </c>
      <c r="F31" s="4">
        <f t="shared" si="21"/>
        <v>1534.6622717813029</v>
      </c>
      <c r="G31" s="4">
        <f t="shared" si="21"/>
        <v>1598.3365148933096</v>
      </c>
      <c r="H31" s="4">
        <f t="shared" si="21"/>
        <v>1664.0034273992089</v>
      </c>
    </row>
    <row r="32" spans="1:8" x14ac:dyDescent="0.3">
      <c r="A32" t="s">
        <v>250</v>
      </c>
      <c r="C32" s="4">
        <f>C12</f>
        <v>6430</v>
      </c>
      <c r="D32" s="4">
        <f t="shared" ref="D32:H32" si="22">D12</f>
        <v>7843.0517575869553</v>
      </c>
      <c r="E32" s="4">
        <f t="shared" si="22"/>
        <v>9315.9719878869764</v>
      </c>
      <c r="F32" s="4">
        <f t="shared" si="22"/>
        <v>10850.634259668279</v>
      </c>
      <c r="G32" s="4">
        <f t="shared" si="22"/>
        <v>12448.970774561589</v>
      </c>
      <c r="H32" s="4">
        <f t="shared" si="22"/>
        <v>14112.974201960798</v>
      </c>
    </row>
    <row r="33" spans="1:8" x14ac:dyDescent="0.3">
      <c r="A33" t="s">
        <v>252</v>
      </c>
      <c r="C33" s="4">
        <f>C2</f>
        <v>8625</v>
      </c>
      <c r="D33" s="4">
        <f t="shared" ref="D33:H33" si="23">D2</f>
        <v>7887.5505398156811</v>
      </c>
      <c r="E33" s="4">
        <f t="shared" si="23"/>
        <v>7111.7964052471152</v>
      </c>
      <c r="F33" s="4">
        <f t="shared" si="23"/>
        <v>6296.5388611612561</v>
      </c>
      <c r="G33" s="4">
        <f t="shared" si="23"/>
        <v>5440.5416583111191</v>
      </c>
      <c r="H33" s="4">
        <f t="shared" si="23"/>
        <v>4542.5298593410389</v>
      </c>
    </row>
    <row r="34" spans="1:8" x14ac:dyDescent="0.3">
      <c r="G3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FEEC-CEE8-47EB-9504-6B10702B745C}">
  <dimension ref="A1:J47"/>
  <sheetViews>
    <sheetView topLeftCell="A4" zoomScale="91" zoomScaleNormal="85" workbookViewId="0">
      <selection activeCell="D30" sqref="D30"/>
    </sheetView>
  </sheetViews>
  <sheetFormatPr defaultRowHeight="14.4" x14ac:dyDescent="0.3"/>
  <cols>
    <col min="1" max="1" width="38" customWidth="1"/>
    <col min="2" max="2" width="14.21875" bestFit="1" customWidth="1"/>
    <col min="3" max="3" width="20.88671875" bestFit="1" customWidth="1"/>
    <col min="4" max="4" width="13" customWidth="1"/>
    <col min="5" max="5" width="13.109375" customWidth="1"/>
    <col min="6" max="6" width="13.5546875" customWidth="1"/>
    <col min="7" max="7" width="10.5546875" bestFit="1" customWidth="1"/>
    <col min="8" max="10" width="8.88671875" customWidth="1"/>
  </cols>
  <sheetData>
    <row r="1" spans="1:8" x14ac:dyDescent="0.3">
      <c r="A1" s="37" t="s">
        <v>159</v>
      </c>
      <c r="B1" s="38">
        <f>E2027</f>
        <v>0</v>
      </c>
      <c r="C1" s="39">
        <f>E2028</f>
        <v>0</v>
      </c>
      <c r="D1" s="40">
        <f>E2029</f>
        <v>0</v>
      </c>
      <c r="E1" s="41">
        <f>E2030</f>
        <v>0</v>
      </c>
      <c r="F1" s="42">
        <f>E2031</f>
        <v>0</v>
      </c>
      <c r="G1" s="44"/>
      <c r="H1" s="44"/>
    </row>
    <row r="2" spans="1:8" x14ac:dyDescent="0.3">
      <c r="A2" s="43" t="s">
        <v>160</v>
      </c>
      <c r="B2" s="14">
        <f>IS!D17+IS!D9</f>
        <v>15375.580485996923</v>
      </c>
      <c r="C2" s="14">
        <f>IS!E17+IS!E9</f>
        <v>16415.086540805543</v>
      </c>
      <c r="D2" s="14">
        <f>IS!F17+IS!F9</f>
        <v>17513.976863447377</v>
      </c>
      <c r="E2" s="14">
        <f>IS!G17+IS!G9</f>
        <v>18818.24432119363</v>
      </c>
      <c r="F2" s="14">
        <f>IS!H17+IS!H9</f>
        <v>20261.082150808088</v>
      </c>
    </row>
    <row r="3" spans="1:8" x14ac:dyDescent="0.3">
      <c r="A3" s="43" t="s">
        <v>161</v>
      </c>
      <c r="B3" s="14">
        <f>B2*(1-B14)</f>
        <v>11531.685364497693</v>
      </c>
      <c r="C3" s="14">
        <f t="shared" ref="C3:F3" si="0">C2*(1-C14)</f>
        <v>12311.314905604158</v>
      </c>
      <c r="D3" s="14">
        <f t="shared" si="0"/>
        <v>13135.482647585533</v>
      </c>
      <c r="E3" s="14">
        <f t="shared" si="0"/>
        <v>14113.683240895221</v>
      </c>
      <c r="F3" s="14">
        <f t="shared" si="0"/>
        <v>15195.811613106067</v>
      </c>
    </row>
    <row r="4" spans="1:8" x14ac:dyDescent="0.3">
      <c r="A4" t="s">
        <v>162</v>
      </c>
      <c r="B4" s="14">
        <f>IS!D10</f>
        <v>1413.0517575869555</v>
      </c>
      <c r="C4" s="14">
        <f>IS!E10</f>
        <v>1472.9202303000213</v>
      </c>
      <c r="D4" s="14">
        <f>IS!F10</f>
        <v>1534.6622717813029</v>
      </c>
      <c r="E4" s="14">
        <f>IS!G10</f>
        <v>1598.3365148933096</v>
      </c>
      <c r="F4" s="14">
        <f>IS!H10</f>
        <v>1664.0034273992089</v>
      </c>
    </row>
    <row r="5" spans="1:8" x14ac:dyDescent="0.3">
      <c r="A5" t="s">
        <v>163</v>
      </c>
      <c r="B5" s="11">
        <f>-'Working Cap Schedule '!D19</f>
        <v>-4913.0043238402013</v>
      </c>
      <c r="C5" s="11">
        <f>-'Working Cap Schedule '!E19</f>
        <v>800.03148571594465</v>
      </c>
      <c r="D5" s="11">
        <f>-'Working Cap Schedule '!F19</f>
        <v>-1260.8461026167024</v>
      </c>
      <c r="E5" s="11">
        <f>-'Working Cap Schedule '!G19</f>
        <v>-295.86784308193455</v>
      </c>
      <c r="F5" s="11">
        <f>-'Working Cap Schedule '!H19</f>
        <v>-998.53565683898705</v>
      </c>
    </row>
    <row r="6" spans="1:8" x14ac:dyDescent="0.3">
      <c r="A6" t="s">
        <v>172</v>
      </c>
      <c r="B6" s="11">
        <f>-'CAPEX Schedule '!D25</f>
        <v>-1855</v>
      </c>
      <c r="C6" s="11">
        <f>-'CAPEX Schedule '!E25</f>
        <v>-1913.0517575869555</v>
      </c>
      <c r="D6" s="11">
        <f>-'CAPEX Schedule '!F25</f>
        <v>-1972.9202303000213</v>
      </c>
      <c r="E6" s="11">
        <f>-'CAPEX Schedule '!G25</f>
        <v>-2034.6622717813029</v>
      </c>
      <c r="F6" s="11">
        <f>-'CAPEX Schedule '!H25</f>
        <v>-2098.3365148933099</v>
      </c>
    </row>
    <row r="7" spans="1:8" x14ac:dyDescent="0.3">
      <c r="A7" s="43" t="s">
        <v>165</v>
      </c>
      <c r="B7" s="14">
        <f>SUM(B3:B6)</f>
        <v>6176.7327982444476</v>
      </c>
      <c r="C7" s="14">
        <f t="shared" ref="C7:F7" si="1">SUM(C3:C6)</f>
        <v>12671.214864033169</v>
      </c>
      <c r="D7" s="14">
        <f t="shared" si="1"/>
        <v>11436.378586450111</v>
      </c>
      <c r="E7" s="14">
        <f t="shared" si="1"/>
        <v>13381.489640925294</v>
      </c>
      <c r="F7" s="14">
        <f t="shared" si="1"/>
        <v>13762.94286877298</v>
      </c>
    </row>
    <row r="8" spans="1:8" x14ac:dyDescent="0.3">
      <c r="A8" s="43" t="s">
        <v>164</v>
      </c>
      <c r="C8" s="6">
        <f>C7/B7-1</f>
        <v>1.0514429355976973</v>
      </c>
      <c r="D8" s="6">
        <f t="shared" ref="D8:F8" si="2">D7/C7-1</f>
        <v>-9.7452082600864132E-2</v>
      </c>
      <c r="E8" s="6">
        <f t="shared" si="2"/>
        <v>0.17008103043910783</v>
      </c>
      <c r="F8" s="6">
        <f t="shared" si="2"/>
        <v>2.8506036180087735E-2</v>
      </c>
    </row>
    <row r="11" spans="1:8" x14ac:dyDescent="0.3">
      <c r="A11" s="37" t="s">
        <v>166</v>
      </c>
      <c r="B11" s="38"/>
      <c r="C11" s="59"/>
      <c r="D11" s="60"/>
      <c r="E11" s="61"/>
      <c r="F11" s="62"/>
    </row>
    <row r="12" spans="1:8" x14ac:dyDescent="0.3">
      <c r="A12" t="s">
        <v>167</v>
      </c>
      <c r="B12" s="64">
        <f>DATE(2026,2,28)</f>
        <v>46081</v>
      </c>
    </row>
    <row r="13" spans="1:8" x14ac:dyDescent="0.3">
      <c r="A13" t="s">
        <v>168</v>
      </c>
      <c r="B13" s="64">
        <v>46112</v>
      </c>
    </row>
    <row r="14" spans="1:8" x14ac:dyDescent="0.3">
      <c r="A14" t="s">
        <v>169</v>
      </c>
      <c r="B14" s="13">
        <v>0.25</v>
      </c>
      <c r="C14" s="13">
        <v>0.25</v>
      </c>
      <c r="D14" s="13">
        <v>0.25</v>
      </c>
      <c r="E14" s="13">
        <v>0.25</v>
      </c>
      <c r="F14" s="13">
        <v>0.25</v>
      </c>
    </row>
    <row r="15" spans="1:8" x14ac:dyDescent="0.3">
      <c r="A15" t="s">
        <v>170</v>
      </c>
      <c r="B15" s="13">
        <f>WACC!J27</f>
        <v>0.12131208285340127</v>
      </c>
      <c r="C15" s="7">
        <f>B15</f>
        <v>0.12131208285340127</v>
      </c>
      <c r="D15" s="7">
        <f t="shared" ref="D15:F15" si="3">C15</f>
        <v>0.12131208285340127</v>
      </c>
      <c r="E15" s="7">
        <f t="shared" si="3"/>
        <v>0.12131208285340127</v>
      </c>
      <c r="F15" s="7">
        <f t="shared" si="3"/>
        <v>0.12131208285340127</v>
      </c>
    </row>
    <row r="16" spans="1:8" x14ac:dyDescent="0.3">
      <c r="A16" t="s">
        <v>171</v>
      </c>
      <c r="B16" s="6">
        <f>WACC!J42</f>
        <v>3.8125000000000006E-2</v>
      </c>
    </row>
    <row r="18" spans="1:6" x14ac:dyDescent="0.3">
      <c r="A18" s="63" t="s">
        <v>193</v>
      </c>
    </row>
    <row r="19" spans="1:6" x14ac:dyDescent="0.3">
      <c r="A19" t="s">
        <v>194</v>
      </c>
      <c r="B19" s="57">
        <f>($B$13-$B$12)/365</f>
        <v>8.4931506849315067E-2</v>
      </c>
      <c r="C19" s="57">
        <f>B19+1</f>
        <v>1.0849315068493151</v>
      </c>
      <c r="D19" s="57">
        <f t="shared" ref="D19:F19" si="4">C19+1</f>
        <v>2.0849315068493151</v>
      </c>
      <c r="E19" s="57">
        <f t="shared" si="4"/>
        <v>3.0849315068493151</v>
      </c>
      <c r="F19" s="57">
        <f t="shared" si="4"/>
        <v>4.0849315068493155</v>
      </c>
    </row>
    <row r="20" spans="1:6" x14ac:dyDescent="0.3">
      <c r="A20" t="s">
        <v>165</v>
      </c>
      <c r="B20" s="14">
        <f>B7</f>
        <v>6176.7327982444476</v>
      </c>
      <c r="C20" s="14">
        <f t="shared" ref="C20:F20" si="5">C7</f>
        <v>12671.214864033169</v>
      </c>
      <c r="D20" s="14">
        <f t="shared" si="5"/>
        <v>11436.378586450111</v>
      </c>
      <c r="E20" s="14">
        <f t="shared" si="5"/>
        <v>13381.489640925294</v>
      </c>
      <c r="F20" s="14">
        <f t="shared" si="5"/>
        <v>13762.94286877298</v>
      </c>
    </row>
    <row r="21" spans="1:6" x14ac:dyDescent="0.3">
      <c r="A21" s="43" t="s">
        <v>195</v>
      </c>
      <c r="B21" s="14">
        <f>B20/(1+$B$15)^B19</f>
        <v>6116.9575648980654</v>
      </c>
      <c r="C21" s="14">
        <f t="shared" ref="C21:F21" si="6">C20/(1+$B$15)^C19</f>
        <v>11190.987393918607</v>
      </c>
      <c r="D21" s="14">
        <f t="shared" si="6"/>
        <v>9007.6638970292206</v>
      </c>
      <c r="E21" s="14">
        <f t="shared" si="6"/>
        <v>9399.4319829897395</v>
      </c>
      <c r="F21" s="14">
        <f t="shared" si="6"/>
        <v>8621.4825283685241</v>
      </c>
    </row>
    <row r="23" spans="1:6" x14ac:dyDescent="0.3">
      <c r="B23" s="14"/>
    </row>
    <row r="24" spans="1:6" x14ac:dyDescent="0.3">
      <c r="A24" s="45" t="s">
        <v>203</v>
      </c>
      <c r="B24" s="14">
        <f>F20*(1+B16)/(B15-B16)</f>
        <v>171753.2887987401</v>
      </c>
    </row>
    <row r="25" spans="1:6" x14ac:dyDescent="0.3">
      <c r="A25" s="45" t="s">
        <v>204</v>
      </c>
      <c r="B25" s="14">
        <f>SUM(B21:F21)</f>
        <v>44336.52336720415</v>
      </c>
    </row>
    <row r="26" spans="1:6" x14ac:dyDescent="0.3">
      <c r="A26" s="45" t="s">
        <v>205</v>
      </c>
      <c r="B26" s="14">
        <f>B24/(1+B15)^F19</f>
        <v>107590.94131880149</v>
      </c>
    </row>
    <row r="27" spans="1:6" x14ac:dyDescent="0.3">
      <c r="A27" s="45" t="s">
        <v>206</v>
      </c>
      <c r="B27" s="14">
        <f>B25+B26</f>
        <v>151927.46468600564</v>
      </c>
    </row>
    <row r="28" spans="1:6" x14ac:dyDescent="0.3">
      <c r="A28" s="45" t="s">
        <v>207</v>
      </c>
      <c r="B28">
        <f>'Debt Schedule'!C3</f>
        <v>1</v>
      </c>
    </row>
    <row r="29" spans="1:6" x14ac:dyDescent="0.3">
      <c r="A29" s="45" t="s">
        <v>208</v>
      </c>
      <c r="B29">
        <f>BS!D19</f>
        <v>0</v>
      </c>
    </row>
    <row r="30" spans="1:6" x14ac:dyDescent="0.3">
      <c r="A30" s="45" t="s">
        <v>209</v>
      </c>
      <c r="B30" s="14">
        <f>BS!D28</f>
        <v>235</v>
      </c>
    </row>
    <row r="31" spans="1:6" x14ac:dyDescent="0.3">
      <c r="A31" s="45" t="s">
        <v>210</v>
      </c>
      <c r="B31" s="14">
        <f>B27+B28-B29</f>
        <v>151928.46468600564</v>
      </c>
    </row>
    <row r="32" spans="1:6" x14ac:dyDescent="0.3">
      <c r="A32" t="s">
        <v>211</v>
      </c>
      <c r="B32" s="10">
        <f>B31/B30</f>
        <v>646.50410504683248</v>
      </c>
    </row>
    <row r="33" spans="1:10" x14ac:dyDescent="0.3">
      <c r="A33" s="67" t="s">
        <v>212</v>
      </c>
      <c r="B33" s="68">
        <v>2340</v>
      </c>
    </row>
    <row r="34" spans="1:10" x14ac:dyDescent="0.3">
      <c r="A34" s="67" t="s">
        <v>213</v>
      </c>
      <c r="B34" s="66">
        <f>(B32-B33)/B33</f>
        <v>-0.72371619442443047</v>
      </c>
      <c r="C34" s="6"/>
    </row>
    <row r="37" spans="1:10" x14ac:dyDescent="0.3">
      <c r="A37" s="56" t="s">
        <v>214</v>
      </c>
    </row>
    <row r="38" spans="1:10" x14ac:dyDescent="0.3">
      <c r="F38" s="56" t="s">
        <v>170</v>
      </c>
    </row>
    <row r="39" spans="1:10" x14ac:dyDescent="0.3">
      <c r="B39" s="72">
        <f>B32</f>
        <v>646.50410504683248</v>
      </c>
      <c r="C39" s="69">
        <f t="shared" ref="C39:D39" si="7">D39-0.5%</f>
        <v>0.10631208285340125</v>
      </c>
      <c r="D39" s="69">
        <f t="shared" si="7"/>
        <v>0.11131208285340126</v>
      </c>
      <c r="E39" s="69">
        <f>F39-0.5%</f>
        <v>0.11631208285340126</v>
      </c>
      <c r="F39" s="69">
        <f>B15</f>
        <v>0.12131208285340127</v>
      </c>
      <c r="G39" s="69">
        <f>F39+0.5%</f>
        <v>0.12631208285340126</v>
      </c>
      <c r="H39" s="69">
        <f t="shared" ref="H39:J39" si="8">G39+0.5%</f>
        <v>0.13131208285340126</v>
      </c>
      <c r="I39" s="69">
        <f t="shared" si="8"/>
        <v>0.13631208285340127</v>
      </c>
      <c r="J39" s="12"/>
    </row>
    <row r="40" spans="1:10" x14ac:dyDescent="0.3">
      <c r="B40" s="70">
        <f t="shared" ref="B40:B41" si="9">B41-0.5%</f>
        <v>2.3125000000000007E-2</v>
      </c>
      <c r="C40" s="73">
        <f t="dataTable" ref="C40:I46" dt2D="1" dtr="1" r1="B15" r2="B16" ca="1"/>
        <v>671.00132307029889</v>
      </c>
      <c r="D40" s="73">
        <v>760.51851917966519</v>
      </c>
      <c r="E40" s="73">
        <v>815.13588860133893</v>
      </c>
      <c r="F40" s="73">
        <v>815.13588860133893</v>
      </c>
      <c r="G40" s="73">
        <v>760.51851917966519</v>
      </c>
      <c r="H40" s="73">
        <v>671.00132307029889</v>
      </c>
      <c r="I40" s="73">
        <v>570.95634384903394</v>
      </c>
    </row>
    <row r="41" spans="1:10" x14ac:dyDescent="0.3">
      <c r="B41" s="70">
        <f t="shared" si="9"/>
        <v>2.8125000000000008E-2</v>
      </c>
      <c r="C41" s="73">
        <v>615.68258420754114</v>
      </c>
      <c r="D41" s="73">
        <v>688.08178882399795</v>
      </c>
      <c r="E41" s="73">
        <v>731.24083225548668</v>
      </c>
      <c r="F41" s="73">
        <v>731.24083225548668</v>
      </c>
      <c r="G41" s="73">
        <v>688.08178882399795</v>
      </c>
      <c r="H41" s="73">
        <v>615.68258420754114</v>
      </c>
      <c r="I41" s="73">
        <v>532.22961416069586</v>
      </c>
    </row>
    <row r="42" spans="1:10" x14ac:dyDescent="0.3">
      <c r="B42" s="70">
        <f>B43-0.5%</f>
        <v>3.3125000000000009E-2</v>
      </c>
      <c r="C42" s="73">
        <v>592.24872519376117</v>
      </c>
      <c r="D42" s="73">
        <v>658.02391178217204</v>
      </c>
      <c r="E42" s="73">
        <v>696.85713371825921</v>
      </c>
      <c r="F42" s="73">
        <v>696.85713371825921</v>
      </c>
      <c r="G42" s="73">
        <v>658.02391178217204</v>
      </c>
      <c r="H42" s="73">
        <v>592.24872519376117</v>
      </c>
      <c r="I42" s="73">
        <v>515.43235902922891</v>
      </c>
    </row>
    <row r="43" spans="1:10" x14ac:dyDescent="0.3">
      <c r="A43" s="56" t="s">
        <v>215</v>
      </c>
      <c r="B43" s="71">
        <f>B16</f>
        <v>3.8125000000000006E-2</v>
      </c>
      <c r="C43" s="73">
        <v>592.24872519376117</v>
      </c>
      <c r="D43" s="73">
        <v>658.02391178217204</v>
      </c>
      <c r="E43" s="73">
        <v>696.85713371825921</v>
      </c>
      <c r="F43" s="73">
        <v>696.85713371825921</v>
      </c>
      <c r="G43" s="73">
        <v>658.02391178217204</v>
      </c>
      <c r="H43" s="73">
        <v>592.24872519376117</v>
      </c>
      <c r="I43" s="73">
        <v>515.43235902922891</v>
      </c>
    </row>
    <row r="44" spans="1:10" x14ac:dyDescent="0.3">
      <c r="B44" s="70">
        <f>B43+0.5%</f>
        <v>4.3125000000000004E-2</v>
      </c>
      <c r="C44" s="73">
        <v>615.68258420754114</v>
      </c>
      <c r="D44" s="73">
        <v>688.08178882399795</v>
      </c>
      <c r="E44" s="73">
        <v>731.24083225548668</v>
      </c>
      <c r="F44" s="73">
        <v>731.24083225548668</v>
      </c>
      <c r="G44" s="73">
        <v>688.08178882399795</v>
      </c>
      <c r="H44" s="73">
        <v>615.68258420754114</v>
      </c>
      <c r="I44" s="73">
        <v>532.22961416069586</v>
      </c>
    </row>
    <row r="45" spans="1:10" x14ac:dyDescent="0.3">
      <c r="B45" s="70">
        <f t="shared" ref="B45:B47" si="10">B44+0.5%</f>
        <v>4.8125000000000001E-2</v>
      </c>
      <c r="C45" s="73">
        <v>671.00132307029889</v>
      </c>
      <c r="D45" s="73">
        <v>760.51851917966519</v>
      </c>
      <c r="E45" s="73">
        <v>815.13588860133893</v>
      </c>
      <c r="F45" s="73">
        <v>815.13588860133893</v>
      </c>
      <c r="G45" s="73">
        <v>760.51851917966519</v>
      </c>
      <c r="H45" s="73">
        <v>671.00132307029889</v>
      </c>
      <c r="I45" s="73">
        <v>570.95634384903394</v>
      </c>
    </row>
    <row r="46" spans="1:10" x14ac:dyDescent="0.3">
      <c r="B46" s="70">
        <f t="shared" si="10"/>
        <v>5.3124999999999999E-2</v>
      </c>
      <c r="C46" s="73">
        <v>784.40238862473302</v>
      </c>
      <c r="D46" s="73">
        <v>915.85712684559701</v>
      </c>
      <c r="E46" s="73">
        <v>1000.1293880450984</v>
      </c>
      <c r="F46" s="73">
        <v>1000.1293880450984</v>
      </c>
      <c r="G46" s="73">
        <v>915.85712684559701</v>
      </c>
      <c r="H46" s="73">
        <v>784.40238862473302</v>
      </c>
      <c r="I46" s="73">
        <v>646.50410504683248</v>
      </c>
    </row>
    <row r="47" spans="1:10" x14ac:dyDescent="0.3">
      <c r="B47" s="7"/>
    </row>
  </sheetData>
  <conditionalFormatting sqref="B39:I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0D1E-DEC2-4A6D-91F7-F3B8B7A62A33}">
  <dimension ref="A1:H33"/>
  <sheetViews>
    <sheetView topLeftCell="A8" zoomScale="87" zoomScaleNormal="100" workbookViewId="0">
      <selection activeCell="C31" sqref="C31"/>
    </sheetView>
  </sheetViews>
  <sheetFormatPr defaultRowHeight="14.4" x14ac:dyDescent="0.3"/>
  <cols>
    <col min="1" max="1" width="32.77734375" customWidth="1"/>
    <col min="2" max="2" width="13.21875" bestFit="1" customWidth="1"/>
    <col min="3" max="3" width="15.33203125" customWidth="1"/>
    <col min="4" max="4" width="14.5546875" customWidth="1"/>
    <col min="5" max="5" width="14.33203125" customWidth="1"/>
    <col min="6" max="6" width="14.6640625" customWidth="1"/>
  </cols>
  <sheetData>
    <row r="1" spans="1:8" x14ac:dyDescent="0.3">
      <c r="A1" s="37" t="s">
        <v>159</v>
      </c>
      <c r="B1" s="38">
        <f>E2027</f>
        <v>0</v>
      </c>
      <c r="C1" s="39">
        <f>E2028</f>
        <v>0</v>
      </c>
      <c r="D1" s="40">
        <f>E2029</f>
        <v>0</v>
      </c>
      <c r="E1" s="41">
        <f>E2030</f>
        <v>0</v>
      </c>
      <c r="F1" s="42">
        <f>E2031</f>
        <v>0</v>
      </c>
    </row>
    <row r="2" spans="1:8" x14ac:dyDescent="0.3">
      <c r="A2" t="s">
        <v>176</v>
      </c>
      <c r="B2" s="14">
        <f>FCFF!B2-Assumption!D11-IS!D9</f>
        <v>18871.74952902825</v>
      </c>
      <c r="C2" s="14">
        <f>FCFF!C2-FCFF!C14-IS!E9</f>
        <v>16016.536790358012</v>
      </c>
      <c r="D2" s="14">
        <f>FCFF!D2-FCFF!D14-IS!F9</f>
        <v>17111.697869999058</v>
      </c>
      <c r="E2" s="14">
        <f>FCFF!E2-FCFF!E14-IS!G9</f>
        <v>18412.236084744523</v>
      </c>
      <c r="F2" s="14">
        <f>FCFF!F2-FCFF!F14-IS!H9</f>
        <v>19851.344671358194</v>
      </c>
    </row>
    <row r="3" spans="1:8" x14ac:dyDescent="0.3">
      <c r="A3" t="s">
        <v>162</v>
      </c>
      <c r="B3" s="10">
        <f>'CAPEX Schedule '!D22</f>
        <v>1413.0517575869555</v>
      </c>
      <c r="C3" s="10">
        <f>'CAPEX Schedule '!E22</f>
        <v>1472.9202303000213</v>
      </c>
      <c r="D3" s="10">
        <f>'CAPEX Schedule '!F22</f>
        <v>1534.6622717813029</v>
      </c>
      <c r="E3" s="10">
        <f>'CAPEX Schedule '!G22</f>
        <v>1598.3365148933096</v>
      </c>
      <c r="F3" s="10">
        <f>'CAPEX Schedule '!H22</f>
        <v>1664.0034273992089</v>
      </c>
    </row>
    <row r="4" spans="1:8" x14ac:dyDescent="0.3">
      <c r="A4" t="s">
        <v>173</v>
      </c>
      <c r="B4" s="10">
        <f>-'Working Cap Schedule '!D19</f>
        <v>-4913.0043238402013</v>
      </c>
      <c r="C4" s="10">
        <f>-'Working Cap Schedule '!E19</f>
        <v>800.03148571594465</v>
      </c>
      <c r="D4" s="10">
        <f>-'Working Cap Schedule '!F19</f>
        <v>-1260.8461026167024</v>
      </c>
      <c r="E4" s="10">
        <f>-'Working Cap Schedule '!G19</f>
        <v>-295.86784308193455</v>
      </c>
      <c r="F4" s="10">
        <f>-'Working Cap Schedule '!H19</f>
        <v>-998.53565683898705</v>
      </c>
    </row>
    <row r="5" spans="1:8" x14ac:dyDescent="0.3">
      <c r="A5" t="s">
        <v>172</v>
      </c>
      <c r="B5" s="10">
        <f>-'CAPEX Schedule '!D25</f>
        <v>-1855</v>
      </c>
      <c r="C5" s="10">
        <f>-'CAPEX Schedule '!E25</f>
        <v>-1913.0517575869555</v>
      </c>
      <c r="D5" s="10">
        <f>-'CAPEX Schedule '!F25</f>
        <v>-1972.9202303000213</v>
      </c>
      <c r="E5" s="10">
        <f>-'CAPEX Schedule '!G25</f>
        <v>-2034.6622717813029</v>
      </c>
      <c r="F5" s="10">
        <f>-'CAPEX Schedule '!H25</f>
        <v>-2098.3365148933099</v>
      </c>
    </row>
    <row r="6" spans="1:8" x14ac:dyDescent="0.3">
      <c r="A6" t="s">
        <v>174</v>
      </c>
      <c r="B6" s="14">
        <f>'Debt Schedule'!D21+'Debt Schedule'!D22</f>
        <v>49</v>
      </c>
      <c r="C6" s="14">
        <f>'Debt Schedule'!E21+'Debt Schedule'!E22</f>
        <v>50</v>
      </c>
      <c r="D6" s="14">
        <f>'Debt Schedule'!F21+'Debt Schedule'!F22</f>
        <v>50</v>
      </c>
      <c r="E6" s="14">
        <f>'Debt Schedule'!G21+'Debt Schedule'!G22</f>
        <v>50</v>
      </c>
      <c r="F6" s="14">
        <f>'Debt Schedule'!H21+'Debt Schedule'!H22</f>
        <v>50</v>
      </c>
    </row>
    <row r="7" spans="1:8" x14ac:dyDescent="0.3">
      <c r="A7" s="45" t="s">
        <v>175</v>
      </c>
      <c r="B7" s="14">
        <f>SUM(B2:B6)</f>
        <v>13565.796962775004</v>
      </c>
      <c r="C7" s="14">
        <f t="shared" ref="C7:H7" si="0">SUM(C2:C6)</f>
        <v>16426.436748787022</v>
      </c>
      <c r="D7" s="14">
        <f t="shared" si="0"/>
        <v>15462.593808863638</v>
      </c>
      <c r="E7" s="14">
        <f t="shared" si="0"/>
        <v>17730.042484774593</v>
      </c>
      <c r="F7" s="14">
        <f t="shared" si="0"/>
        <v>18468.475927025109</v>
      </c>
      <c r="G7" s="14"/>
      <c r="H7" s="14"/>
    </row>
    <row r="8" spans="1:8" x14ac:dyDescent="0.3">
      <c r="A8" s="45" t="s">
        <v>164</v>
      </c>
      <c r="C8" s="9">
        <f>C7/B7-1</f>
        <v>0.21087148759941687</v>
      </c>
      <c r="D8" s="9">
        <f t="shared" ref="D8:F8" si="1">D7/C7-1</f>
        <v>-5.8676324918400691E-2</v>
      </c>
      <c r="E8" s="9">
        <f t="shared" si="1"/>
        <v>0.14664090022278042</v>
      </c>
      <c r="F8" s="9">
        <f t="shared" si="1"/>
        <v>4.1648712510679919E-2</v>
      </c>
    </row>
    <row r="11" spans="1:8" x14ac:dyDescent="0.3">
      <c r="A11" s="37" t="s">
        <v>166</v>
      </c>
      <c r="B11" s="38"/>
      <c r="C11" s="59"/>
      <c r="D11" s="60"/>
      <c r="E11" s="61"/>
      <c r="F11" s="62"/>
    </row>
    <row r="12" spans="1:8" x14ac:dyDescent="0.3">
      <c r="A12" t="s">
        <v>167</v>
      </c>
      <c r="B12" s="64">
        <f>DATE(2026,2,28)</f>
        <v>46081</v>
      </c>
    </row>
    <row r="13" spans="1:8" x14ac:dyDescent="0.3">
      <c r="A13" t="s">
        <v>168</v>
      </c>
      <c r="B13" s="64">
        <v>46112</v>
      </c>
    </row>
    <row r="14" spans="1:8" x14ac:dyDescent="0.3">
      <c r="A14" t="s">
        <v>169</v>
      </c>
      <c r="B14" s="13">
        <v>0.25</v>
      </c>
      <c r="C14" s="13"/>
      <c r="D14" s="13"/>
      <c r="E14" s="13"/>
      <c r="F14" s="13"/>
    </row>
    <row r="15" spans="1:8" x14ac:dyDescent="0.3">
      <c r="A15" t="s">
        <v>170</v>
      </c>
      <c r="B15" s="13">
        <f>WACC!J27</f>
        <v>0.12131208285340127</v>
      </c>
      <c r="C15" s="7"/>
      <c r="D15" s="7"/>
      <c r="E15" s="7"/>
      <c r="F15" s="7"/>
    </row>
    <row r="16" spans="1:8" x14ac:dyDescent="0.3">
      <c r="A16" t="s">
        <v>171</v>
      </c>
      <c r="B16" s="6">
        <f>WACC!J42</f>
        <v>3.8125000000000006E-2</v>
      </c>
    </row>
    <row r="18" spans="1:6" x14ac:dyDescent="0.3">
      <c r="A18" s="63" t="s">
        <v>193</v>
      </c>
    </row>
    <row r="19" spans="1:6" x14ac:dyDescent="0.3">
      <c r="A19" t="s">
        <v>194</v>
      </c>
      <c r="B19" s="57">
        <f>($B$13-$B$12)/365</f>
        <v>8.4931506849315067E-2</v>
      </c>
      <c r="C19" s="57">
        <f>B19+1</f>
        <v>1.0849315068493151</v>
      </c>
      <c r="D19" s="57">
        <f t="shared" ref="D19:F19" si="2">C19+1</f>
        <v>2.0849315068493151</v>
      </c>
      <c r="E19" s="57">
        <f t="shared" si="2"/>
        <v>3.0849315068493151</v>
      </c>
      <c r="F19" s="57">
        <f t="shared" si="2"/>
        <v>4.0849315068493155</v>
      </c>
    </row>
    <row r="20" spans="1:6" x14ac:dyDescent="0.3">
      <c r="A20" t="s">
        <v>175</v>
      </c>
      <c r="B20" s="14">
        <f>B7</f>
        <v>13565.796962775004</v>
      </c>
      <c r="C20" s="14">
        <f t="shared" ref="C20:F20" si="3">C7</f>
        <v>16426.436748787022</v>
      </c>
      <c r="D20" s="14">
        <f t="shared" si="3"/>
        <v>15462.593808863638</v>
      </c>
      <c r="E20" s="14">
        <f t="shared" si="3"/>
        <v>17730.042484774593</v>
      </c>
      <c r="F20" s="14">
        <f t="shared" si="3"/>
        <v>18468.475927025109</v>
      </c>
    </row>
    <row r="21" spans="1:6" x14ac:dyDescent="0.3">
      <c r="A21" s="43" t="s">
        <v>196</v>
      </c>
      <c r="B21" s="14">
        <f>B20/(1+$B$15)^B19</f>
        <v>13434.514178580423</v>
      </c>
      <c r="C21" s="14">
        <f t="shared" ref="C21:F21" si="4">C20/(1+$B$15)^C19</f>
        <v>14507.531326334529</v>
      </c>
      <c r="D21" s="14">
        <f t="shared" si="4"/>
        <v>12178.842013113355</v>
      </c>
      <c r="E21" s="14">
        <f t="shared" si="4"/>
        <v>12453.944430930605</v>
      </c>
      <c r="F21" s="14">
        <f t="shared" si="4"/>
        <v>11569.15668753606</v>
      </c>
    </row>
    <row r="23" spans="1:6" x14ac:dyDescent="0.3">
      <c r="A23" s="45" t="s">
        <v>203</v>
      </c>
      <c r="B23" s="14">
        <f>FCFF!B24</f>
        <v>171753.2887987401</v>
      </c>
    </row>
    <row r="24" spans="1:6" x14ac:dyDescent="0.3">
      <c r="A24" s="45" t="s">
        <v>204</v>
      </c>
      <c r="B24" s="14">
        <f>FCFF!B25</f>
        <v>44336.52336720415</v>
      </c>
    </row>
    <row r="25" spans="1:6" x14ac:dyDescent="0.3">
      <c r="A25" s="45" t="s">
        <v>205</v>
      </c>
      <c r="B25" s="14">
        <f>FCFF!B26</f>
        <v>107590.94131880149</v>
      </c>
    </row>
    <row r="26" spans="1:6" x14ac:dyDescent="0.3">
      <c r="A26" s="45" t="s">
        <v>206</v>
      </c>
      <c r="B26" s="14">
        <f>FCFF!B27</f>
        <v>151927.46468600564</v>
      </c>
    </row>
    <row r="27" spans="1:6" x14ac:dyDescent="0.3">
      <c r="A27" s="45" t="s">
        <v>207</v>
      </c>
      <c r="B27" s="14">
        <f>FCFF!B28</f>
        <v>1</v>
      </c>
    </row>
    <row r="28" spans="1:6" x14ac:dyDescent="0.3">
      <c r="A28" s="45" t="s">
        <v>208</v>
      </c>
      <c r="B28" s="14">
        <f>FCFF!B29</f>
        <v>0</v>
      </c>
    </row>
    <row r="29" spans="1:6" x14ac:dyDescent="0.3">
      <c r="A29" s="45" t="s">
        <v>209</v>
      </c>
      <c r="B29" s="14">
        <f>FCFF!B30</f>
        <v>235</v>
      </c>
    </row>
    <row r="30" spans="1:6" x14ac:dyDescent="0.3">
      <c r="A30" s="45" t="s">
        <v>210</v>
      </c>
      <c r="B30" s="14">
        <f>FCFF!B31</f>
        <v>151928.46468600564</v>
      </c>
    </row>
    <row r="31" spans="1:6" x14ac:dyDescent="0.3">
      <c r="A31" t="s">
        <v>211</v>
      </c>
      <c r="B31" s="14">
        <f>FCFF!B32</f>
        <v>646.50410504683248</v>
      </c>
    </row>
    <row r="32" spans="1:6" x14ac:dyDescent="0.3">
      <c r="A32" s="43" t="s">
        <v>212</v>
      </c>
      <c r="B32" s="14">
        <f>FCFF!B33</f>
        <v>2340</v>
      </c>
    </row>
    <row r="33" spans="1:2" x14ac:dyDescent="0.3">
      <c r="A33" s="43" t="s">
        <v>213</v>
      </c>
      <c r="B33" s="9">
        <f>FCFF!B34</f>
        <v>-0.72371619442443047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1FE2-01A3-419C-9E77-2A0A548408D8}">
  <dimension ref="A1:K61"/>
  <sheetViews>
    <sheetView topLeftCell="A21" zoomScale="90" workbookViewId="0">
      <selection activeCell="J42" sqref="J42"/>
    </sheetView>
  </sheetViews>
  <sheetFormatPr defaultRowHeight="14.4" x14ac:dyDescent="0.3"/>
  <cols>
    <col min="1" max="1" width="20.6640625" customWidth="1"/>
    <col min="2" max="2" width="18.88671875" customWidth="1"/>
    <col min="3" max="3" width="14.5546875" customWidth="1"/>
    <col min="6" max="6" width="17.6640625" customWidth="1"/>
    <col min="7" max="7" width="13.44140625" customWidth="1"/>
    <col min="9" max="9" width="36.33203125" customWidth="1"/>
    <col min="10" max="10" width="29.77734375" customWidth="1"/>
    <col min="11" max="11" width="14.21875" customWidth="1"/>
  </cols>
  <sheetData>
    <row r="1" spans="1:7" x14ac:dyDescent="0.3">
      <c r="A1" s="46" t="s">
        <v>177</v>
      </c>
      <c r="B1" s="46" t="s">
        <v>178</v>
      </c>
      <c r="C1" s="46" t="s">
        <v>179</v>
      </c>
      <c r="E1" s="47"/>
      <c r="F1" s="47"/>
    </row>
    <row r="2" spans="1:7" x14ac:dyDescent="0.3">
      <c r="A2" s="48">
        <v>44256</v>
      </c>
      <c r="B2">
        <v>2236.0205078125</v>
      </c>
      <c r="C2">
        <v>14690.7001953125</v>
      </c>
      <c r="E2" s="47"/>
      <c r="F2" s="47" t="s">
        <v>180</v>
      </c>
      <c r="G2" s="47" t="s">
        <v>181</v>
      </c>
    </row>
    <row r="3" spans="1:7" x14ac:dyDescent="0.3">
      <c r="A3" s="48">
        <v>44287</v>
      </c>
      <c r="B3">
        <v>2164.521240234375</v>
      </c>
      <c r="C3">
        <v>14631.099609375</v>
      </c>
      <c r="E3" s="6"/>
      <c r="F3" s="49">
        <f>LN(C3/C2)</f>
        <v>-4.0652803318297313E-3</v>
      </c>
      <c r="G3" s="49">
        <f>LN(B3/B2)</f>
        <v>-3.249852605233447E-2</v>
      </c>
    </row>
    <row r="4" spans="1:7" x14ac:dyDescent="0.3">
      <c r="A4" s="48">
        <v>44317</v>
      </c>
      <c r="B4">
        <v>2151.922607421875</v>
      </c>
      <c r="C4">
        <v>15582.7998046875</v>
      </c>
      <c r="E4" s="6"/>
      <c r="F4" s="49">
        <f t="shared" ref="F4:F61" si="0">LN(C4/C3)</f>
        <v>6.3018355870911674E-2</v>
      </c>
      <c r="G4" s="49">
        <f t="shared" ref="G4:G61" si="1">LN(B4/B3)</f>
        <v>-5.8375222909190913E-3</v>
      </c>
    </row>
    <row r="5" spans="1:7" x14ac:dyDescent="0.3">
      <c r="A5" s="48">
        <v>44348</v>
      </c>
      <c r="B5">
        <v>2272.620849609375</v>
      </c>
      <c r="C5">
        <v>15721.5</v>
      </c>
      <c r="E5" s="6"/>
      <c r="F5" s="49">
        <f t="shared" si="0"/>
        <v>8.8614729480753097E-3</v>
      </c>
      <c r="G5" s="49">
        <f t="shared" si="1"/>
        <v>5.4572046242649545E-2</v>
      </c>
    </row>
    <row r="6" spans="1:7" x14ac:dyDescent="0.3">
      <c r="A6" s="48">
        <v>44378</v>
      </c>
      <c r="B6">
        <v>2161.24072265625</v>
      </c>
      <c r="C6">
        <v>15763.0498046875</v>
      </c>
      <c r="E6" s="6"/>
      <c r="F6" s="49">
        <f t="shared" si="0"/>
        <v>2.6393789376708702E-3</v>
      </c>
      <c r="G6" s="49">
        <f t="shared" si="1"/>
        <v>-5.0251259377843374E-2</v>
      </c>
    </row>
    <row r="7" spans="1:7" x14ac:dyDescent="0.3">
      <c r="A7" s="48">
        <v>44409</v>
      </c>
      <c r="B7">
        <v>2523.223388671875</v>
      </c>
      <c r="C7">
        <v>17132.19921875</v>
      </c>
      <c r="E7" s="6"/>
      <c r="F7" s="49">
        <f t="shared" si="0"/>
        <v>8.3291106910079266E-2</v>
      </c>
      <c r="G7" s="49">
        <f t="shared" si="1"/>
        <v>0.15485474120821344</v>
      </c>
    </row>
    <row r="8" spans="1:7" x14ac:dyDescent="0.3">
      <c r="A8" s="48">
        <v>44440</v>
      </c>
      <c r="B8">
        <v>2502.567626953125</v>
      </c>
      <c r="C8">
        <v>17618.150390625</v>
      </c>
      <c r="E8" s="6"/>
      <c r="F8" s="49">
        <f t="shared" si="0"/>
        <v>2.796995469889493E-2</v>
      </c>
      <c r="G8" s="49">
        <f t="shared" si="1"/>
        <v>-8.219951032349888E-3</v>
      </c>
    </row>
    <row r="9" spans="1:7" x14ac:dyDescent="0.3">
      <c r="A9" s="48">
        <v>44470</v>
      </c>
      <c r="B9">
        <v>2216.67724609375</v>
      </c>
      <c r="C9">
        <v>17671.650390625</v>
      </c>
      <c r="E9" s="6"/>
      <c r="F9" s="49">
        <f t="shared" si="0"/>
        <v>3.032039841667852E-3</v>
      </c>
      <c r="G9" s="49">
        <f t="shared" si="1"/>
        <v>-0.12130791693745988</v>
      </c>
    </row>
    <row r="10" spans="1:7" x14ac:dyDescent="0.3">
      <c r="A10" s="48">
        <v>44501</v>
      </c>
      <c r="B10">
        <v>2159.84423828125</v>
      </c>
      <c r="C10">
        <v>16983.19921875</v>
      </c>
      <c r="E10" s="6"/>
      <c r="F10" s="49">
        <f t="shared" si="0"/>
        <v>-3.973710855020627E-2</v>
      </c>
      <c r="G10" s="49">
        <f t="shared" si="1"/>
        <v>-2.5973231473079693E-2</v>
      </c>
    </row>
    <row r="11" spans="1:7" x14ac:dyDescent="0.3">
      <c r="A11" s="48">
        <v>44531</v>
      </c>
      <c r="B11">
        <v>2199.54541015625</v>
      </c>
      <c r="C11">
        <v>17354.05078125</v>
      </c>
      <c r="E11" s="6"/>
      <c r="F11" s="49">
        <f t="shared" si="0"/>
        <v>2.1601379431276043E-2</v>
      </c>
      <c r="G11" s="49">
        <f t="shared" si="1"/>
        <v>1.8214600076773866E-2</v>
      </c>
    </row>
    <row r="12" spans="1:7" x14ac:dyDescent="0.3">
      <c r="A12" s="48">
        <v>44562</v>
      </c>
      <c r="B12">
        <v>2119.024658203125</v>
      </c>
      <c r="C12">
        <v>17339.849609375</v>
      </c>
      <c r="E12" s="6"/>
      <c r="F12" s="49">
        <f t="shared" si="0"/>
        <v>-8.1865529722730587E-4</v>
      </c>
      <c r="G12" s="49">
        <f t="shared" si="1"/>
        <v>-3.7294791330467793E-2</v>
      </c>
    </row>
    <row r="13" spans="1:7" x14ac:dyDescent="0.3">
      <c r="A13" s="48">
        <v>44593</v>
      </c>
      <c r="B13">
        <v>2024.292236328125</v>
      </c>
      <c r="C13">
        <v>16793.900390625</v>
      </c>
      <c r="E13" s="6"/>
      <c r="F13" s="49">
        <f t="shared" si="0"/>
        <v>-3.1991549772345758E-2</v>
      </c>
      <c r="G13" s="49">
        <f t="shared" si="1"/>
        <v>-4.5735789395120734E-2</v>
      </c>
    </row>
    <row r="14" spans="1:7" x14ac:dyDescent="0.3">
      <c r="A14" s="48">
        <v>44621</v>
      </c>
      <c r="B14">
        <v>1909.242553710938</v>
      </c>
      <c r="C14">
        <v>17464.75</v>
      </c>
      <c r="E14" s="6"/>
      <c r="F14" s="49">
        <f t="shared" si="0"/>
        <v>3.91688153173579E-2</v>
      </c>
      <c r="G14" s="49">
        <f t="shared" si="1"/>
        <v>-5.8513531873609206E-2</v>
      </c>
    </row>
    <row r="15" spans="1:7" x14ac:dyDescent="0.3">
      <c r="A15" s="48">
        <v>44652</v>
      </c>
      <c r="B15">
        <v>2082.77197265625</v>
      </c>
      <c r="C15">
        <v>17102.55078125</v>
      </c>
      <c r="E15" s="6"/>
      <c r="F15" s="49">
        <f t="shared" si="0"/>
        <v>-2.0956942935119825E-2</v>
      </c>
      <c r="G15" s="49">
        <f t="shared" si="1"/>
        <v>8.6993090979552073E-2</v>
      </c>
    </row>
    <row r="16" spans="1:7" x14ac:dyDescent="0.3">
      <c r="A16" s="48">
        <v>44682</v>
      </c>
      <c r="B16">
        <v>2193.11474609375</v>
      </c>
      <c r="C16">
        <v>16584.55078125</v>
      </c>
      <c r="E16" s="6"/>
      <c r="F16" s="49">
        <f t="shared" si="0"/>
        <v>-3.0756034691708727E-2</v>
      </c>
      <c r="G16" s="49">
        <f t="shared" si="1"/>
        <v>5.162310622088382E-2</v>
      </c>
    </row>
    <row r="17" spans="1:10" x14ac:dyDescent="0.3">
      <c r="A17" s="48">
        <v>44713</v>
      </c>
      <c r="B17">
        <v>2078.8115234375</v>
      </c>
      <c r="C17">
        <v>15780.25</v>
      </c>
      <c r="E17" s="6"/>
      <c r="F17" s="49">
        <f t="shared" si="0"/>
        <v>-4.9712428055275447E-2</v>
      </c>
      <c r="G17" s="49">
        <f t="shared" si="1"/>
        <v>-5.3526444418035404E-2</v>
      </c>
    </row>
    <row r="18" spans="1:10" x14ac:dyDescent="0.3">
      <c r="A18" s="48">
        <v>44743</v>
      </c>
      <c r="B18">
        <v>2479.6298828125</v>
      </c>
      <c r="C18">
        <v>17158.25</v>
      </c>
      <c r="E18" s="6"/>
      <c r="F18" s="49">
        <f t="shared" si="0"/>
        <v>8.3719949376114669E-2</v>
      </c>
      <c r="G18" s="49">
        <f t="shared" si="1"/>
        <v>0.17631296078892988</v>
      </c>
    </row>
    <row r="19" spans="1:10" x14ac:dyDescent="0.3">
      <c r="A19" s="48">
        <v>44774</v>
      </c>
      <c r="B19">
        <v>2500.737548828125</v>
      </c>
      <c r="C19">
        <v>17759.30078125</v>
      </c>
      <c r="E19" s="6"/>
      <c r="F19" s="49">
        <f t="shared" si="0"/>
        <v>3.4430258856492653E-2</v>
      </c>
      <c r="G19" s="49">
        <f t="shared" si="1"/>
        <v>8.4763996577374989E-3</v>
      </c>
    </row>
    <row r="20" spans="1:10" x14ac:dyDescent="0.3">
      <c r="A20" s="48">
        <v>44805</v>
      </c>
      <c r="B20">
        <v>2535.147705078125</v>
      </c>
      <c r="C20">
        <v>17094.349609375</v>
      </c>
      <c r="E20" s="6"/>
      <c r="F20" s="49">
        <f t="shared" si="0"/>
        <v>-3.8161389660302754E-2</v>
      </c>
      <c r="G20" s="49">
        <f t="shared" si="1"/>
        <v>1.3666193753038831E-2</v>
      </c>
    </row>
    <row r="21" spans="1:10" x14ac:dyDescent="0.3">
      <c r="A21" s="48">
        <v>44835</v>
      </c>
      <c r="B21">
        <v>2398.116455078125</v>
      </c>
      <c r="C21">
        <v>18012.19921875</v>
      </c>
      <c r="E21" s="6"/>
      <c r="F21" s="49">
        <f t="shared" si="0"/>
        <v>5.2301286009363894E-2</v>
      </c>
      <c r="G21" s="49">
        <f t="shared" si="1"/>
        <v>-5.5568282803847097E-2</v>
      </c>
      <c r="I21" s="50" t="s">
        <v>182</v>
      </c>
      <c r="J21" s="53">
        <f>SLOPE(G3:G61,F3:F61)</f>
        <v>0.77138602271585155</v>
      </c>
    </row>
    <row r="22" spans="1:10" x14ac:dyDescent="0.3">
      <c r="A22" s="48">
        <v>44866</v>
      </c>
      <c r="B22">
        <v>2523.771728515625</v>
      </c>
      <c r="C22">
        <v>18758.349609375</v>
      </c>
      <c r="E22" s="6"/>
      <c r="F22" s="49">
        <f t="shared" si="0"/>
        <v>4.0589703081297404E-2</v>
      </c>
      <c r="G22" s="49">
        <f t="shared" si="1"/>
        <v>5.1070881377863898E-2</v>
      </c>
      <c r="I22" s="50" t="s">
        <v>187</v>
      </c>
      <c r="J22" s="50">
        <f>BS!C28+BS!C29+BS!C30+BS!C33</f>
        <v>50852</v>
      </c>
    </row>
    <row r="23" spans="1:10" x14ac:dyDescent="0.3">
      <c r="A23" s="48">
        <v>44896</v>
      </c>
      <c r="B23">
        <v>2424.0029296875</v>
      </c>
      <c r="C23">
        <v>18105.30078125</v>
      </c>
      <c r="E23" s="6"/>
      <c r="F23" s="49">
        <f t="shared" si="0"/>
        <v>-3.5434209555278512E-2</v>
      </c>
      <c r="G23" s="49">
        <f t="shared" si="1"/>
        <v>-4.0334223399462923E-2</v>
      </c>
      <c r="I23" s="50" t="s">
        <v>183</v>
      </c>
      <c r="J23" s="52">
        <f>BS!C33/WACC!J22</f>
        <v>2.4443483048847636E-2</v>
      </c>
    </row>
    <row r="24" spans="1:10" x14ac:dyDescent="0.3">
      <c r="A24" s="48">
        <v>44927</v>
      </c>
      <c r="B24">
        <v>2438.86279296875</v>
      </c>
      <c r="C24">
        <v>17662.150390625</v>
      </c>
      <c r="E24" s="6"/>
      <c r="F24" s="49">
        <f t="shared" si="0"/>
        <v>-2.4780802302484462E-2</v>
      </c>
      <c r="G24" s="49">
        <f t="shared" si="1"/>
        <v>6.1115853827262371E-3</v>
      </c>
      <c r="I24" s="50" t="s">
        <v>184</v>
      </c>
      <c r="J24" s="54">
        <f>1-J23</f>
        <v>0.97555651695115242</v>
      </c>
    </row>
    <row r="25" spans="1:10" x14ac:dyDescent="0.3">
      <c r="A25" s="48">
        <v>44958</v>
      </c>
      <c r="B25">
        <v>2328.975341796875</v>
      </c>
      <c r="C25">
        <v>17303.94921875</v>
      </c>
      <c r="E25" s="6"/>
      <c r="F25" s="49">
        <f t="shared" si="0"/>
        <v>-2.0489199943856996E-2</v>
      </c>
      <c r="G25" s="49">
        <f t="shared" si="1"/>
        <v>-4.6103458823635049E-2</v>
      </c>
      <c r="I25" s="50" t="s">
        <v>185</v>
      </c>
      <c r="J25" s="55">
        <f>'Debt Schedule'!C19</f>
        <v>7.7109896782027926E-2</v>
      </c>
    </row>
    <row r="26" spans="1:10" x14ac:dyDescent="0.3">
      <c r="A26" s="48">
        <v>44986</v>
      </c>
      <c r="B26">
        <v>2423.340576171875</v>
      </c>
      <c r="C26">
        <v>17359.75</v>
      </c>
      <c r="E26" s="6"/>
      <c r="F26" s="49">
        <f t="shared" si="0"/>
        <v>3.2195542142365919E-3</v>
      </c>
      <c r="G26" s="49">
        <f t="shared" si="1"/>
        <v>3.9718588282162869E-2</v>
      </c>
      <c r="I26" s="50" t="s">
        <v>186</v>
      </c>
      <c r="J26" s="58">
        <f>J30+J31*J32</f>
        <v>0.12290262524917082</v>
      </c>
    </row>
    <row r="27" spans="1:10" x14ac:dyDescent="0.3">
      <c r="A27" s="48">
        <v>45017</v>
      </c>
      <c r="B27">
        <v>2325.8046875</v>
      </c>
      <c r="C27">
        <v>18065</v>
      </c>
      <c r="E27" s="6"/>
      <c r="F27" s="49">
        <f t="shared" si="0"/>
        <v>3.9822056392752755E-2</v>
      </c>
      <c r="G27" s="49">
        <f t="shared" si="1"/>
        <v>-4.1080910354223295E-2</v>
      </c>
      <c r="I27" s="50" t="s">
        <v>170</v>
      </c>
      <c r="J27" s="65">
        <f>(J23*J25*(1-FCFF!B14)+(WACC!J24*WACC!J26))</f>
        <v>0.12131208285340127</v>
      </c>
    </row>
    <row r="28" spans="1:10" x14ac:dyDescent="0.3">
      <c r="A28" s="48">
        <v>45047</v>
      </c>
      <c r="B28">
        <v>2524.803955078125</v>
      </c>
      <c r="C28">
        <v>18534.400390625</v>
      </c>
      <c r="E28" s="6"/>
      <c r="F28" s="49">
        <f t="shared" si="0"/>
        <v>2.5652121365167826E-2</v>
      </c>
      <c r="G28" s="49">
        <f t="shared" si="1"/>
        <v>8.2097336849520128E-2</v>
      </c>
      <c r="I28" s="50" t="s">
        <v>186</v>
      </c>
      <c r="J28" s="56" t="s">
        <v>189</v>
      </c>
    </row>
    <row r="29" spans="1:10" x14ac:dyDescent="0.3">
      <c r="A29" s="48">
        <v>45078</v>
      </c>
      <c r="B29">
        <v>2534.836669921875</v>
      </c>
      <c r="C29">
        <v>19189.05078125</v>
      </c>
      <c r="E29" s="6"/>
      <c r="F29" s="49">
        <f t="shared" si="0"/>
        <v>3.4711358592254368E-2</v>
      </c>
      <c r="G29" s="49">
        <f t="shared" si="1"/>
        <v>3.9657867965056165E-3</v>
      </c>
    </row>
    <row r="30" spans="1:10" x14ac:dyDescent="0.3">
      <c r="A30" s="48">
        <v>45108</v>
      </c>
      <c r="B30">
        <v>2443.562255859375</v>
      </c>
      <c r="C30">
        <v>19753.80078125</v>
      </c>
      <c r="E30" s="6"/>
      <c r="F30" s="49">
        <f t="shared" si="0"/>
        <v>2.9006072895267944E-2</v>
      </c>
      <c r="G30" s="49">
        <f t="shared" si="1"/>
        <v>-3.6672289402900946E-2</v>
      </c>
      <c r="I30" s="50" t="s">
        <v>190</v>
      </c>
      <c r="J30" s="58">
        <v>6.6900000000000001E-2</v>
      </c>
    </row>
    <row r="31" spans="1:10" x14ac:dyDescent="0.3">
      <c r="A31" s="48">
        <v>45139</v>
      </c>
      <c r="B31">
        <v>2390.364501953125</v>
      </c>
      <c r="C31">
        <v>19253.80078125</v>
      </c>
      <c r="E31" s="6"/>
      <c r="F31" s="49">
        <f t="shared" si="0"/>
        <v>-2.5637433026021773E-2</v>
      </c>
      <c r="G31" s="49">
        <f t="shared" si="1"/>
        <v>-2.2011049961233591E-2</v>
      </c>
      <c r="I31" s="50" t="s">
        <v>191</v>
      </c>
      <c r="J31" s="53">
        <f>J21</f>
        <v>0.77138602271585155</v>
      </c>
    </row>
    <row r="32" spans="1:10" x14ac:dyDescent="0.3">
      <c r="A32" s="48">
        <v>45170</v>
      </c>
      <c r="B32">
        <v>2352.720703125</v>
      </c>
      <c r="C32">
        <v>19638.30078125</v>
      </c>
      <c r="E32" s="6"/>
      <c r="F32" s="49">
        <f t="shared" si="0"/>
        <v>1.9773296490833859E-2</v>
      </c>
      <c r="G32" s="49">
        <f t="shared" si="1"/>
        <v>-1.5873461096598724E-2</v>
      </c>
      <c r="I32" s="50" t="s">
        <v>192</v>
      </c>
      <c r="J32" s="58">
        <v>7.2599999999999998E-2</v>
      </c>
    </row>
    <row r="33" spans="1:11" x14ac:dyDescent="0.3">
      <c r="A33" s="48">
        <v>45200</v>
      </c>
      <c r="B33">
        <v>2370.278076171875</v>
      </c>
      <c r="C33">
        <v>19079.599609375</v>
      </c>
      <c r="E33" s="6"/>
      <c r="F33" s="49">
        <f t="shared" si="0"/>
        <v>-2.8862099950745117E-2</v>
      </c>
      <c r="G33" s="49">
        <f t="shared" si="1"/>
        <v>7.4348754866867869E-3</v>
      </c>
    </row>
    <row r="34" spans="1:11" x14ac:dyDescent="0.3">
      <c r="A34" s="48">
        <v>45231</v>
      </c>
      <c r="B34">
        <v>2429.01025390625</v>
      </c>
      <c r="C34">
        <v>20133.150390625</v>
      </c>
      <c r="E34" s="6"/>
      <c r="F34" s="49">
        <f t="shared" si="0"/>
        <v>5.3748048706655276E-2</v>
      </c>
      <c r="G34" s="49">
        <f t="shared" si="1"/>
        <v>2.4476591480551427E-2</v>
      </c>
    </row>
    <row r="35" spans="1:11" x14ac:dyDescent="0.3">
      <c r="A35" s="48">
        <v>45261</v>
      </c>
      <c r="B35">
        <v>2560.633056640625</v>
      </c>
      <c r="C35">
        <v>21731.400390625</v>
      </c>
      <c r="E35" s="6"/>
      <c r="F35" s="49">
        <f t="shared" si="0"/>
        <v>7.639050755449546E-2</v>
      </c>
      <c r="G35" s="49">
        <f t="shared" si="1"/>
        <v>5.2770644208284902E-2</v>
      </c>
      <c r="I35" s="50" t="s">
        <v>171</v>
      </c>
    </row>
    <row r="36" spans="1:11" x14ac:dyDescent="0.3">
      <c r="A36" s="48">
        <v>45292</v>
      </c>
      <c r="B36">
        <v>2385.307373046875</v>
      </c>
      <c r="C36">
        <v>21725.69921875</v>
      </c>
      <c r="E36" s="6"/>
      <c r="F36" s="49">
        <f t="shared" si="0"/>
        <v>-2.6238161124211682E-4</v>
      </c>
      <c r="G36" s="49">
        <f t="shared" si="1"/>
        <v>-7.0926522047049287E-2</v>
      </c>
      <c r="K36" t="s">
        <v>201</v>
      </c>
    </row>
    <row r="37" spans="1:11" x14ac:dyDescent="0.3">
      <c r="A37" s="48">
        <v>45323</v>
      </c>
      <c r="B37">
        <v>2318.742919921875</v>
      </c>
      <c r="C37">
        <v>21982.80078125</v>
      </c>
      <c r="E37" s="6"/>
      <c r="F37" s="49">
        <f t="shared" si="0"/>
        <v>1.1764509320155716E-2</v>
      </c>
      <c r="G37" s="49">
        <f t="shared" si="1"/>
        <v>-2.8302799658108321E-2</v>
      </c>
      <c r="I37" s="56" t="s">
        <v>197</v>
      </c>
      <c r="J37" s="7">
        <v>6.5000000000000002E-2</v>
      </c>
      <c r="K37" s="13">
        <v>0.25</v>
      </c>
    </row>
    <row r="38" spans="1:11" x14ac:dyDescent="0.3">
      <c r="A38" s="48">
        <v>45352</v>
      </c>
      <c r="B38">
        <v>2176.53125</v>
      </c>
      <c r="C38">
        <v>22326.900390625</v>
      </c>
      <c r="E38" s="6"/>
      <c r="F38" s="49">
        <f t="shared" si="0"/>
        <v>1.5531882083485167E-2</v>
      </c>
      <c r="G38" s="49">
        <f t="shared" si="1"/>
        <v>-6.3292754144758073E-2</v>
      </c>
      <c r="I38" s="56" t="s">
        <v>200</v>
      </c>
      <c r="J38" s="7">
        <v>2.75E-2</v>
      </c>
      <c r="K38" s="13">
        <v>0.25</v>
      </c>
    </row>
    <row r="39" spans="1:11" x14ac:dyDescent="0.3">
      <c r="A39" s="48">
        <v>45383</v>
      </c>
      <c r="B39">
        <v>2143.94580078125</v>
      </c>
      <c r="C39">
        <v>22604.849609375</v>
      </c>
      <c r="E39" s="6"/>
      <c r="F39" s="49">
        <f t="shared" si="0"/>
        <v>1.2372220723991998E-2</v>
      </c>
      <c r="G39" s="49">
        <f t="shared" si="1"/>
        <v>-1.50844764185569E-2</v>
      </c>
      <c r="I39" s="56" t="s">
        <v>198</v>
      </c>
      <c r="J39" s="13">
        <v>0.05</v>
      </c>
      <c r="K39" s="13">
        <v>0.25</v>
      </c>
    </row>
    <row r="40" spans="1:11" x14ac:dyDescent="0.3">
      <c r="A40" s="48">
        <v>45413</v>
      </c>
      <c r="B40">
        <v>2238.721923828125</v>
      </c>
      <c r="C40">
        <v>22530.69921875</v>
      </c>
      <c r="E40" s="6"/>
      <c r="F40" s="49">
        <f t="shared" si="0"/>
        <v>-3.2856787724478624E-3</v>
      </c>
      <c r="G40" s="49">
        <f t="shared" si="1"/>
        <v>4.3257169907849467E-2</v>
      </c>
      <c r="I40" s="56" t="s">
        <v>199</v>
      </c>
      <c r="J40" s="13">
        <v>0.01</v>
      </c>
      <c r="K40" s="13">
        <v>0.25</v>
      </c>
    </row>
    <row r="41" spans="1:11" x14ac:dyDescent="0.3">
      <c r="A41" s="48">
        <v>45444</v>
      </c>
      <c r="B41">
        <v>2377.136962890625</v>
      </c>
      <c r="C41">
        <v>24010.599609375</v>
      </c>
      <c r="E41" s="6"/>
      <c r="F41" s="49">
        <f t="shared" si="0"/>
        <v>6.3616594268288459E-2</v>
      </c>
      <c r="G41" s="49">
        <f t="shared" si="1"/>
        <v>5.9991673470936369E-2</v>
      </c>
    </row>
    <row r="42" spans="1:11" x14ac:dyDescent="0.3">
      <c r="A42" s="48">
        <v>45474</v>
      </c>
      <c r="B42">
        <v>2626.0537109375</v>
      </c>
      <c r="C42">
        <v>24951.150390625</v>
      </c>
      <c r="E42" s="6"/>
      <c r="F42" s="49">
        <f t="shared" si="0"/>
        <v>3.8424545735532598E-2</v>
      </c>
      <c r="G42" s="49">
        <f t="shared" si="1"/>
        <v>9.958542240768907E-2</v>
      </c>
      <c r="I42" s="56" t="s">
        <v>202</v>
      </c>
      <c r="J42" s="8">
        <f>SUMPRODUCT(J37:J40,K37:K40)</f>
        <v>3.8125000000000006E-2</v>
      </c>
    </row>
    <row r="43" spans="1:11" x14ac:dyDescent="0.3">
      <c r="A43" s="48">
        <v>45505</v>
      </c>
      <c r="B43">
        <v>2696.275390625</v>
      </c>
      <c r="C43">
        <v>25235.900390625</v>
      </c>
      <c r="E43" s="6"/>
      <c r="F43" s="49">
        <f t="shared" si="0"/>
        <v>1.1347670411256436E-2</v>
      </c>
      <c r="G43" s="49">
        <f t="shared" si="1"/>
        <v>2.6389106502119428E-2</v>
      </c>
    </row>
    <row r="44" spans="1:11" x14ac:dyDescent="0.3">
      <c r="A44" s="48">
        <v>45536</v>
      </c>
      <c r="B44">
        <v>2871.271240234375</v>
      </c>
      <c r="C44">
        <v>25810.849609375</v>
      </c>
      <c r="E44" s="6"/>
      <c r="F44" s="49">
        <f t="shared" si="0"/>
        <v>2.2527331639289501E-2</v>
      </c>
      <c r="G44" s="49">
        <f t="shared" si="1"/>
        <v>6.2883536859143538E-2</v>
      </c>
      <c r="I44" s="56" t="s">
        <v>216</v>
      </c>
      <c r="J44" s="68">
        <f>2340</f>
        <v>2340</v>
      </c>
    </row>
    <row r="45" spans="1:11" x14ac:dyDescent="0.3">
      <c r="A45" s="48">
        <v>45566</v>
      </c>
      <c r="B45">
        <v>2453.87255859375</v>
      </c>
      <c r="C45">
        <v>24205.349609375</v>
      </c>
      <c r="E45" s="6"/>
      <c r="F45" s="49">
        <f t="shared" si="0"/>
        <v>-6.4221264054316163E-2</v>
      </c>
      <c r="G45" s="49">
        <f t="shared" si="1"/>
        <v>-0.1570874597235902</v>
      </c>
    </row>
    <row r="46" spans="1:11" x14ac:dyDescent="0.3">
      <c r="A46" s="48">
        <v>45597</v>
      </c>
      <c r="B46">
        <v>2422.716796875</v>
      </c>
      <c r="C46">
        <v>24131.099609375</v>
      </c>
      <c r="E46" s="6"/>
      <c r="F46" s="49">
        <f t="shared" si="0"/>
        <v>-3.0722181542478374E-3</v>
      </c>
      <c r="G46" s="49">
        <f t="shared" si="1"/>
        <v>-1.277785901423723E-2</v>
      </c>
    </row>
    <row r="47" spans="1:11" x14ac:dyDescent="0.3">
      <c r="A47" s="48">
        <v>45627</v>
      </c>
      <c r="B47">
        <v>2284.67529296875</v>
      </c>
      <c r="C47">
        <v>23644.80078125</v>
      </c>
      <c r="E47" s="6"/>
      <c r="F47" s="49">
        <f t="shared" si="0"/>
        <v>-2.0358198163974685E-2</v>
      </c>
      <c r="G47" s="49">
        <f t="shared" si="1"/>
        <v>-5.8665643297690043E-2</v>
      </c>
    </row>
    <row r="48" spans="1:11" x14ac:dyDescent="0.3">
      <c r="A48" s="48">
        <v>45658</v>
      </c>
      <c r="B48">
        <v>2424.052490234375</v>
      </c>
      <c r="C48">
        <v>23508.400390625</v>
      </c>
      <c r="E48" s="6"/>
      <c r="F48" s="49">
        <f t="shared" si="0"/>
        <v>-5.7854299471487422E-3</v>
      </c>
      <c r="G48" s="49">
        <f t="shared" si="1"/>
        <v>5.9216811844846402E-2</v>
      </c>
    </row>
    <row r="49" spans="1:7" x14ac:dyDescent="0.3">
      <c r="A49" s="48">
        <v>45689</v>
      </c>
      <c r="B49">
        <v>2150.55126953125</v>
      </c>
      <c r="C49">
        <v>22124.69921875</v>
      </c>
      <c r="E49" s="6"/>
      <c r="F49" s="49">
        <f t="shared" si="0"/>
        <v>-6.0663224537316665E-2</v>
      </c>
      <c r="G49" s="49">
        <f t="shared" si="1"/>
        <v>-0.11971650865302134</v>
      </c>
    </row>
    <row r="50" spans="1:7" x14ac:dyDescent="0.3">
      <c r="A50" s="48">
        <v>45717</v>
      </c>
      <c r="B50">
        <v>2217.90771484375</v>
      </c>
      <c r="C50">
        <v>23519.349609375</v>
      </c>
      <c r="E50" s="6"/>
      <c r="F50" s="49">
        <f t="shared" si="0"/>
        <v>6.1128873816639742E-2</v>
      </c>
      <c r="G50" s="49">
        <f t="shared" si="1"/>
        <v>3.0840066981528677E-2</v>
      </c>
    </row>
    <row r="51" spans="1:7" x14ac:dyDescent="0.3">
      <c r="A51" s="48">
        <v>45748</v>
      </c>
      <c r="B51">
        <v>2299.64892578125</v>
      </c>
      <c r="C51">
        <v>24334.19921875</v>
      </c>
      <c r="E51" s="6"/>
      <c r="F51" s="49">
        <f t="shared" si="0"/>
        <v>3.4059266193909206E-2</v>
      </c>
      <c r="G51" s="49">
        <f t="shared" si="1"/>
        <v>3.6192189631371621E-2</v>
      </c>
    </row>
    <row r="52" spans="1:7" x14ac:dyDescent="0.3">
      <c r="A52" s="48">
        <v>45778</v>
      </c>
      <c r="B52">
        <v>2305.736572265625</v>
      </c>
      <c r="C52">
        <v>24750.69921875</v>
      </c>
      <c r="E52" s="6"/>
      <c r="F52" s="49">
        <f t="shared" si="0"/>
        <v>1.6971003698900373E-2</v>
      </c>
      <c r="G52" s="49">
        <f t="shared" si="1"/>
        <v>2.64370921070724E-3</v>
      </c>
    </row>
    <row r="53" spans="1:7" x14ac:dyDescent="0.3">
      <c r="A53" s="48">
        <v>45809</v>
      </c>
      <c r="B53">
        <v>2253.009765625</v>
      </c>
      <c r="C53">
        <v>25517.05078125</v>
      </c>
      <c r="E53" s="6"/>
      <c r="F53" s="49">
        <f t="shared" si="0"/>
        <v>3.0493146922133261E-2</v>
      </c>
      <c r="G53" s="49">
        <f t="shared" si="1"/>
        <v>-2.3133183591159692E-2</v>
      </c>
    </row>
    <row r="54" spans="1:7" x14ac:dyDescent="0.3">
      <c r="A54" s="48">
        <v>45839</v>
      </c>
      <c r="B54">
        <v>2501.535400390625</v>
      </c>
      <c r="C54">
        <v>24768.349609375</v>
      </c>
      <c r="E54" s="6"/>
      <c r="F54" s="49">
        <f t="shared" si="0"/>
        <v>-2.9780274127110991E-2</v>
      </c>
      <c r="G54" s="49">
        <f t="shared" si="1"/>
        <v>0.10463770757207977</v>
      </c>
    </row>
    <row r="55" spans="1:7" x14ac:dyDescent="0.3">
      <c r="A55" s="48">
        <v>45870</v>
      </c>
      <c r="B55">
        <v>2639.054443359375</v>
      </c>
      <c r="C55">
        <v>24426.849609375</v>
      </c>
      <c r="E55" s="6"/>
      <c r="F55" s="49">
        <f t="shared" si="0"/>
        <v>-1.3883691536798011E-2</v>
      </c>
      <c r="G55" s="49">
        <f t="shared" si="1"/>
        <v>5.3515984096264749E-2</v>
      </c>
    </row>
    <row r="56" spans="1:7" x14ac:dyDescent="0.3">
      <c r="A56" s="48">
        <v>45901</v>
      </c>
      <c r="B56">
        <v>2494.788330078125</v>
      </c>
      <c r="C56">
        <v>24611.099609375</v>
      </c>
      <c r="E56" s="6"/>
      <c r="F56" s="49">
        <f t="shared" si="0"/>
        <v>7.5146236732063819E-3</v>
      </c>
      <c r="G56" s="49">
        <f t="shared" si="1"/>
        <v>-5.6216799646976845E-2</v>
      </c>
    </row>
    <row r="57" spans="1:7" x14ac:dyDescent="0.3">
      <c r="A57" s="48">
        <v>45931</v>
      </c>
      <c r="B57">
        <v>2446.269775390625</v>
      </c>
      <c r="C57">
        <v>25722.099609375</v>
      </c>
      <c r="E57" s="6"/>
      <c r="F57" s="49">
        <f t="shared" si="0"/>
        <v>4.4152984562855616E-2</v>
      </c>
      <c r="G57" s="49">
        <f t="shared" si="1"/>
        <v>-1.963956430363302E-2</v>
      </c>
    </row>
    <row r="58" spans="1:7" x14ac:dyDescent="0.3">
      <c r="A58" s="48">
        <v>45962</v>
      </c>
      <c r="B58">
        <v>2447.361328125</v>
      </c>
      <c r="C58">
        <v>26202.94921875</v>
      </c>
      <c r="E58" s="6"/>
      <c r="F58" s="49">
        <f t="shared" si="0"/>
        <v>1.8521440660611767E-2</v>
      </c>
      <c r="G58" s="49">
        <f t="shared" si="1"/>
        <v>4.4611158029215088E-4</v>
      </c>
    </row>
    <row r="59" spans="1:7" x14ac:dyDescent="0.3">
      <c r="A59" s="48">
        <v>45992</v>
      </c>
      <c r="B59">
        <v>2315.89990234375</v>
      </c>
      <c r="C59">
        <v>26129.599609375</v>
      </c>
      <c r="E59" s="6"/>
      <c r="F59" s="49">
        <f t="shared" si="0"/>
        <v>-2.8032136423434902E-3</v>
      </c>
      <c r="G59" s="49">
        <f t="shared" si="1"/>
        <v>-5.5212096519281266E-2</v>
      </c>
    </row>
    <row r="60" spans="1:7" x14ac:dyDescent="0.3">
      <c r="A60" s="48">
        <v>46023</v>
      </c>
      <c r="B60">
        <v>2373</v>
      </c>
      <c r="C60">
        <v>25320.650390625</v>
      </c>
      <c r="E60" s="6"/>
      <c r="F60" s="49">
        <f t="shared" si="0"/>
        <v>-3.1448472611215583E-2</v>
      </c>
      <c r="G60" s="49">
        <f t="shared" si="1"/>
        <v>2.4356638735721328E-2</v>
      </c>
    </row>
    <row r="61" spans="1:7" x14ac:dyDescent="0.3">
      <c r="A61" s="48">
        <v>46054</v>
      </c>
      <c r="B61">
        <v>2338.10009765625</v>
      </c>
      <c r="C61">
        <v>25178.650390625</v>
      </c>
      <c r="E61" s="6"/>
      <c r="F61" s="49">
        <f t="shared" si="0"/>
        <v>-5.6238550658976993E-3</v>
      </c>
      <c r="G61" s="49">
        <f t="shared" si="1"/>
        <v>-1.4816301951417839E-2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IS</vt:lpstr>
      <vt:lpstr>Assumption</vt:lpstr>
      <vt:lpstr>BS</vt:lpstr>
      <vt:lpstr>Sheet4</vt:lpstr>
      <vt:lpstr>Debt Schedule</vt:lpstr>
      <vt:lpstr>Working Cap Schedule </vt:lpstr>
      <vt:lpstr>CAPEX Schedule </vt:lpstr>
      <vt:lpstr>FCFF</vt:lpstr>
      <vt:lpstr>FCFE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 Vyas</dc:creator>
  <cp:lastModifiedBy>KK Vyas</cp:lastModifiedBy>
  <cp:lastPrinted>2026-01-22T11:18:24Z</cp:lastPrinted>
  <dcterms:created xsi:type="dcterms:W3CDTF">2026-01-17T06:59:41Z</dcterms:created>
  <dcterms:modified xsi:type="dcterms:W3CDTF">2026-03-02T11:41:17Z</dcterms:modified>
</cp:coreProperties>
</file>